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<sst xmlns="http://schemas.openxmlformats.org/spreadsheetml/2006/main" count="15" uniqueCount="15">
  <si>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Reference (A)</t>
  </si>
  <si>
    <t>Actual (B)</t>
  </si>
  <si>
    <t>A</t>
  </si>
  <si>
    <t>B</t>
  </si>
  <si>
    <t>Ln(A/B)</t>
  </si>
  <si>
    <t>KL</t>
  </si>
  <si>
    <t>Car</t>
  </si>
  <si>
    <t>Credit Card</t>
  </si>
  <si>
    <t>Debt Collection</t>
  </si>
  <si>
    <t>House</t>
  </si>
  <si>
    <t>Medical</t>
  </si>
  <si>
    <t>Wedding</t>
  </si>
  <si>
    <t>Vacation</t>
  </si>
  <si>
    <t>Moving</t>
  </si>
  <si>
    <t>Tax.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</si>
</sst>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2" t="s">
        <v>2</v>
      </c>
      <c r="E1" s="3" t="s">
        <v>3</v>
      </c>
      <c r="F1" s="1" t="s">
        <v>4</v>
      </c>
      <c r="G1" s="1" t="s">
        <v>5</v>
      </c>
    </row>
    <row r="2">
      <c r="A2" s="1" t="s">
        <v>6</v>
      </c>
      <c r="B2" s="4">
        <v>10.0</v>
      </c>
      <c r="C2" s="4">
        <v>8.0</v>
      </c>
      <c r="D2" s="5">
        <f t="shared" ref="D2:E2" si="1">B2/sum(B$2:B$10)</f>
        <v>0.1</v>
      </c>
      <c r="E2" s="5">
        <f t="shared" si="1"/>
        <v>0.08</v>
      </c>
      <c r="F2" s="6">
        <f t="shared" ref="F2:F10" si="3">LN(D2/E2)</f>
        <v>0.2231435513</v>
      </c>
      <c r="G2" s="6">
        <f t="shared" ref="G2:G10" si="4">D2*F2</f>
        <v>0.02231435513</v>
      </c>
    </row>
    <row r="3">
      <c r="A3" s="1" t="s">
        <v>7</v>
      </c>
      <c r="B3" s="4">
        <v>5.0</v>
      </c>
      <c r="C3" s="4">
        <v>9.0</v>
      </c>
      <c r="D3" s="5">
        <f t="shared" ref="D3:E3" si="2">B3/sum(B$2:B$10)</f>
        <v>0.05</v>
      </c>
      <c r="E3" s="5">
        <f t="shared" si="2"/>
        <v>0.09</v>
      </c>
      <c r="F3" s="6">
        <f t="shared" si="3"/>
        <v>-0.5877866649</v>
      </c>
      <c r="G3" s="6">
        <f t="shared" si="4"/>
        <v>-0.02938933325</v>
      </c>
    </row>
    <row r="4">
      <c r="A4" s="1" t="s">
        <v>8</v>
      </c>
      <c r="B4" s="4">
        <v>8.0</v>
      </c>
      <c r="C4" s="4">
        <v>8.0</v>
      </c>
      <c r="D4" s="5">
        <f t="shared" ref="D4:E4" si="5">B4/sum(B$2:B$10)</f>
        <v>0.08</v>
      </c>
      <c r="E4" s="5">
        <f t="shared" si="5"/>
        <v>0.08</v>
      </c>
      <c r="F4" s="6">
        <f t="shared" si="3"/>
        <v>0</v>
      </c>
      <c r="G4" s="6">
        <f t="shared" si="4"/>
        <v>0</v>
      </c>
    </row>
    <row r="5">
      <c r="A5" s="1" t="s">
        <v>9</v>
      </c>
      <c r="B5" s="4">
        <v>12.0</v>
      </c>
      <c r="C5" s="4">
        <v>13.0</v>
      </c>
      <c r="D5" s="5">
        <f t="shared" ref="D5:E5" si="6">B5/sum(B$2:B$10)</f>
        <v>0.12</v>
      </c>
      <c r="E5" s="5">
        <f t="shared" si="6"/>
        <v>0.13</v>
      </c>
      <c r="F5" s="6">
        <f t="shared" si="3"/>
        <v>-0.08004270767</v>
      </c>
      <c r="G5" s="6">
        <f t="shared" si="4"/>
        <v>-0.009605124921</v>
      </c>
    </row>
    <row r="6">
      <c r="A6" s="1" t="s">
        <v>10</v>
      </c>
      <c r="B6" s="4">
        <v>12.0</v>
      </c>
      <c r="C6" s="4">
        <v>11.0</v>
      </c>
      <c r="D6" s="5">
        <f t="shared" ref="D6:E6" si="7">B6/sum(B$2:B$10)</f>
        <v>0.12</v>
      </c>
      <c r="E6" s="5">
        <f t="shared" si="7"/>
        <v>0.11</v>
      </c>
      <c r="F6" s="6">
        <f t="shared" si="3"/>
        <v>0.08701137699</v>
      </c>
      <c r="G6" s="6">
        <f t="shared" si="4"/>
        <v>0.01044136524</v>
      </c>
    </row>
    <row r="7">
      <c r="A7" s="1" t="s">
        <v>11</v>
      </c>
      <c r="B7" s="4">
        <v>9.0</v>
      </c>
      <c r="C7" s="7">
        <v>7.0</v>
      </c>
      <c r="D7" s="5">
        <f t="shared" ref="D7:E7" si="8">B7/sum(B$2:B$10)</f>
        <v>0.09</v>
      </c>
      <c r="E7" s="5">
        <f t="shared" si="8"/>
        <v>0.07</v>
      </c>
      <c r="F7" s="6">
        <f t="shared" si="3"/>
        <v>0.2513144283</v>
      </c>
      <c r="G7" s="6">
        <f t="shared" si="4"/>
        <v>0.02261829855</v>
      </c>
    </row>
    <row r="8">
      <c r="A8" s="1" t="s">
        <v>12</v>
      </c>
      <c r="B8" s="4">
        <v>23.0</v>
      </c>
      <c r="C8" s="7">
        <v>18.0</v>
      </c>
      <c r="D8" s="5">
        <f t="shared" ref="D8:E8" si="9">B8/sum(B$2:B$10)</f>
        <v>0.23</v>
      </c>
      <c r="E8" s="5">
        <f t="shared" si="9"/>
        <v>0.18</v>
      </c>
      <c r="F8" s="6">
        <f t="shared" si="3"/>
        <v>0.245122458</v>
      </c>
      <c r="G8" s="6">
        <f t="shared" si="4"/>
        <v>0.05637816535</v>
      </c>
    </row>
    <row r="9">
      <c r="A9" s="1" t="s">
        <v>13</v>
      </c>
      <c r="B9" s="4">
        <v>9.0</v>
      </c>
      <c r="C9" s="4">
        <v>8.0</v>
      </c>
      <c r="D9" s="5">
        <f t="shared" ref="D9:E9" si="10">B9/sum(B$2:B$10)</f>
        <v>0.09</v>
      </c>
      <c r="E9" s="5">
        <f t="shared" si="10"/>
        <v>0.08</v>
      </c>
      <c r="F9" s="6">
        <f t="shared" si="3"/>
        <v>0.1177830357</v>
      </c>
      <c r="G9" s="6">
        <f t="shared" si="4"/>
        <v>0.01060047321</v>
      </c>
    </row>
    <row r="10">
      <c r="A10" s="1" t="s">
        <v>14</v>
      </c>
      <c r="B10" s="4">
        <v>12.0</v>
      </c>
      <c r="C10" s="4">
        <v>18.0</v>
      </c>
      <c r="D10" s="5">
        <f t="shared" ref="D10:E10" si="11">B10/sum(B$2:B$10)</f>
        <v>0.12</v>
      </c>
      <c r="E10" s="5">
        <f t="shared" si="11"/>
        <v>0.18</v>
      </c>
      <c r="F10" s="6">
        <f t="shared" si="3"/>
        <v>-0.4054651081</v>
      </c>
      <c r="G10" s="6">
        <f t="shared" si="4"/>
        <v>-0.04865581297</v>
      </c>
    </row>
    <row r="11">
      <c r="A11" s="1"/>
      <c r="B11" s="1"/>
      <c r="C11" s="1"/>
      <c r="D11" s="1"/>
      <c r="E11" s="1"/>
      <c r="F11" s="1"/>
      <c r="G11" s="6">
        <f>SUM(G2:G10)</f>
        <v>0.03470238633</v>
      </c>
    </row>
    <row r="14">
      <c r="G14" s="6">
        <v>0.04961315088712774</v>
      </c>
    </row>
  </sheetData>
  <drawing r:id="rId1"/>
</worksheet>
</file>