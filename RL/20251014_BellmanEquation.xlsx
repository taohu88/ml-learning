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ohu/Documents/"/>
    </mc:Choice>
  </mc:AlternateContent>
  <xr:revisionPtr revIDLastSave="0" documentId="8_{5A5ECB59-0A38-3D4A-8B2C-B4880BA3A6FF}" xr6:coauthVersionLast="47" xr6:coauthVersionMax="47" xr10:uidLastSave="{00000000-0000-0000-0000-000000000000}"/>
  <bookViews>
    <workbookView xWindow="1100" yWindow="820" windowWidth="28040" windowHeight="17440" xr2:uid="{756DA138-B1C8-1C44-82A2-D02B36F1882A}"/>
  </bookViews>
  <sheets>
    <sheet name="BellmanTree" sheetId="1" r:id="rId1"/>
  </sheets>
  <definedNames>
    <definedName name="ActionA0_Prob">BellmanTree!$I$3</definedName>
    <definedName name="ActionA1_prob">BellmanTree!$I$6</definedName>
    <definedName name="Gamma">BellmanTree!$F$2</definedName>
    <definedName name="Next_s1_a0_Prob">BellmanTree!$E$4</definedName>
    <definedName name="Next_s1_a0_Reward">BellmanTree!$D$4</definedName>
    <definedName name="Next_s1_a1_Prob">BellmanTree!$E$7</definedName>
    <definedName name="Next_s1_a1_Reward">BellmanTree!$D$7</definedName>
    <definedName name="Next_s2_a0_Prob">BellmanTree!$E$5</definedName>
    <definedName name="Next_s2_a0_Reward">BellmanTree!$D$5</definedName>
    <definedName name="Next_s2_a1_Prob">BellmanTree!$E$8</definedName>
    <definedName name="Next_s2_a1_Reward">BellmanTree!$D$8</definedName>
    <definedName name="V_s1">BellmanTree!$G$4</definedName>
    <definedName name="V_s2">BellmanTree!$G$5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6" i="1"/>
  <c r="J3" i="1"/>
  <c r="H6" i="1"/>
  <c r="H3" i="1"/>
  <c r="J8" i="1"/>
  <c r="J7" i="1"/>
  <c r="J5" i="1"/>
  <c r="J4" i="1"/>
  <c r="H8" i="1"/>
  <c r="H7" i="1"/>
  <c r="H5" i="1"/>
  <c r="H4" i="1"/>
</calcChain>
</file>

<file path=xl/sharedStrings.xml><?xml version="1.0" encoding="utf-8"?>
<sst xmlns="http://schemas.openxmlformats.org/spreadsheetml/2006/main" count="25" uniqueCount="19">
  <si>
    <t>NodeID</t>
  </si>
  <si>
    <t>Type</t>
  </si>
  <si>
    <t>Label</t>
  </si>
  <si>
    <t>Reward</t>
  </si>
  <si>
    <t>Gamma</t>
  </si>
  <si>
    <t>TransProb</t>
  </si>
  <si>
    <t>V_next</t>
  </si>
  <si>
    <t>Target</t>
  </si>
  <si>
    <t>PolicyProb</t>
  </si>
  <si>
    <t>Contribution</t>
  </si>
  <si>
    <t>State</t>
  </si>
  <si>
    <t>s0</t>
  </si>
  <si>
    <t>Action</t>
  </si>
  <si>
    <t>a0</t>
  </si>
  <si>
    <t>NextState</t>
  </si>
  <si>
    <t>s1</t>
  </si>
  <si>
    <t>s2</t>
  </si>
  <si>
    <t>a1</t>
  </si>
  <si>
    <t>V_est(s0)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</si>
</sst>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290B0-B39D-5247-B08E-60CB7542D82F}">
  <dimension ref="A1:K8"/>
  <sheetViews>
    <sheetView tabSelected="1" workbookViewId="0">
      <selection activeCell="K3" sqref="K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18</v>
      </c>
    </row>
    <row r="2" spans="1:11" x14ac:dyDescent="0.2">
      <c r="A2">
        <v>1</v>
      </c>
      <c r="B2" t="s">
        <v>10</v>
      </c>
      <c r="C2" t="s">
        <v>11</v>
      </c>
      <c r="F2">
        <v>0.9</v>
      </c>
      <c r="K2">
        <f>J3+J6</f>
        <v>4.1379999999999999</v>
      </c>
    </row>
    <row r="3" spans="1:11" x14ac:dyDescent="0.2">
      <c r="A3">
        <v>2</v>
      </c>
      <c r="B3" t="s">
        <v>12</v>
      </c>
      <c r="C3" t="s">
        <v>13</v>
      </c>
      <c r="F3">
        <v>0.9</v>
      </c>
      <c r="H3">
        <f>J4+J5</f>
        <v>5.33</v>
      </c>
      <c r="I3">
        <v>0.6</v>
      </c>
      <c r="J3">
        <f>ActionA0_Prob*H3</f>
        <v>3.198</v>
      </c>
    </row>
    <row r="4" spans="1:11" x14ac:dyDescent="0.2">
      <c r="A4">
        <v>3</v>
      </c>
      <c r="B4" t="s">
        <v>14</v>
      </c>
      <c r="C4" t="s">
        <v>15</v>
      </c>
      <c r="D4">
        <v>5</v>
      </c>
      <c r="E4">
        <v>0.7</v>
      </c>
      <c r="F4">
        <v>0.9</v>
      </c>
      <c r="G4">
        <v>2</v>
      </c>
      <c r="H4">
        <f>D4+Gamma*V_s1</f>
        <v>6.8</v>
      </c>
      <c r="J4">
        <f>E4*H4</f>
        <v>4.76</v>
      </c>
    </row>
    <row r="5" spans="1:11" x14ac:dyDescent="0.2">
      <c r="A5">
        <v>4</v>
      </c>
      <c r="B5" t="s">
        <v>14</v>
      </c>
      <c r="C5" t="s">
        <v>16</v>
      </c>
      <c r="D5">
        <v>1</v>
      </c>
      <c r="E5">
        <v>0.3</v>
      </c>
      <c r="F5">
        <v>0.9</v>
      </c>
      <c r="G5">
        <v>1</v>
      </c>
      <c r="H5">
        <f>D5+Gamma*V_s2</f>
        <v>1.9</v>
      </c>
      <c r="J5">
        <f>E5*H5</f>
        <v>0.56999999999999995</v>
      </c>
    </row>
    <row r="6" spans="1:11" x14ac:dyDescent="0.2">
      <c r="A6">
        <v>5</v>
      </c>
      <c r="B6" t="s">
        <v>12</v>
      </c>
      <c r="C6" t="s">
        <v>17</v>
      </c>
      <c r="F6">
        <v>0.9</v>
      </c>
      <c r="H6">
        <f>J7+J8</f>
        <v>2.35</v>
      </c>
      <c r="I6">
        <v>0.4</v>
      </c>
      <c r="J6">
        <f>ActionA1_prob*H6</f>
        <v>0.94000000000000006</v>
      </c>
    </row>
    <row r="7" spans="1:11" x14ac:dyDescent="0.2">
      <c r="A7">
        <v>6</v>
      </c>
      <c r="B7" t="s">
        <v>14</v>
      </c>
      <c r="C7" t="s">
        <v>15</v>
      </c>
      <c r="D7">
        <v>2</v>
      </c>
      <c r="E7">
        <v>0.5</v>
      </c>
      <c r="F7">
        <v>0.9</v>
      </c>
      <c r="G7">
        <v>2</v>
      </c>
      <c r="H7">
        <f>D7+Gamma*V_s1</f>
        <v>3.8</v>
      </c>
      <c r="J7">
        <f>E7*H7</f>
        <v>1.9</v>
      </c>
    </row>
    <row r="8" spans="1:11" x14ac:dyDescent="0.2">
      <c r="A8">
        <v>7</v>
      </c>
      <c r="B8" t="s">
        <v>14</v>
      </c>
      <c r="C8" t="s">
        <v>16</v>
      </c>
      <c r="D8">
        <v>0</v>
      </c>
      <c r="E8">
        <v>0.5</v>
      </c>
      <c r="F8">
        <v>0.9</v>
      </c>
      <c r="G8">
        <v>1</v>
      </c>
      <c r="H8">
        <f>D8+Gamma*V_s2</f>
        <v>0.9</v>
      </c>
      <c r="J8">
        <f>E8*H8</f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BellmanTree</vt:lpstr>
      <vt:lpstr>ActionA0_Prob</vt:lpstr>
      <vt:lpstr>ActionA1_prob</vt:lpstr>
      <vt:lpstr>Gamma</vt:lpstr>
      <vt:lpstr>Next_s1_a0_Prob</vt:lpstr>
      <vt:lpstr>Next_s1_a0_Reward</vt:lpstr>
      <vt:lpstr>Next_s1_a1_Prob</vt:lpstr>
      <vt:lpstr>Next_s1_a1_Reward</vt:lpstr>
      <vt:lpstr>Next_s2_a0_Prob</vt:lpstr>
      <vt:lpstr>Next_s2_a0_Reward</vt:lpstr>
      <vt:lpstr>Next_s2_a1_Prob</vt:lpstr>
      <vt:lpstr>Next_s2_a1_Reward</vt:lpstr>
      <vt:lpstr>V_s1</vt:lpstr>
      <vt:lpstr>V_s2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Tao</dc:creator>
  <cp:lastModifiedBy>Hu, Tao</cp:lastModifiedBy>
  <dcterms:created xsi:type="dcterms:W3CDTF">2025-10-14T20:34:52Z</dcterms:created>
  <dcterms:modified xsi:type="dcterms:W3CDTF">2025-10-14T21:36:58Z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2025-10-14T21:36:47Z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c20ff9a5-6efa-48ef-8ed4-c92e76c2c738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