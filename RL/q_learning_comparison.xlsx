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Learning" sheetId="1" state="visible" r:id="rId1"/>
    <sheet xmlns:r="http://schemas.openxmlformats.org/officeDocument/2006/relationships" name="Double Q-Learning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n">
        <v>0.1</v>
      </c>
    </row>
    <row r="2">
      <c r="A2" t="inlineStr">
        <is>
          <t>Gamma</t>
        </is>
      </c>
      <c r="B2" t="n">
        <v>0.9</v>
      </c>
    </row>
    <row r="4">
      <c r="A4" t="inlineStr">
        <is>
          <t>Ep</t>
        </is>
      </c>
      <c r="B4" t="inlineStr">
        <is>
          <t>S</t>
        </is>
      </c>
      <c r="C4" t="inlineStr">
        <is>
          <t>A</t>
        </is>
      </c>
      <c r="D4" t="inlineStr">
        <is>
          <t>R</t>
        </is>
      </c>
      <c r="E4" t="inlineStr">
        <is>
          <t>S'</t>
        </is>
      </c>
      <c r="F4" t="inlineStr">
        <is>
          <t>MaxQ(S',a)</t>
        </is>
      </c>
      <c r="G4" t="inlineStr">
        <is>
          <t>Target</t>
        </is>
      </c>
      <c r="H4" t="inlineStr">
        <is>
          <t>Update</t>
        </is>
      </c>
      <c r="J4" s="1" t="inlineStr">
        <is>
          <t>Episode 0 (Initial)</t>
        </is>
      </c>
      <c r="N4" s="1" t="inlineStr">
        <is>
          <t>Episode 1</t>
        </is>
      </c>
      <c r="R4" s="1" t="inlineStr">
        <is>
          <t>Episode 2</t>
        </is>
      </c>
      <c r="V4" s="1" t="inlineStr">
        <is>
          <t>Episode 3</t>
        </is>
      </c>
      <c r="Z4" s="1" t="inlineStr">
        <is>
          <t>Episode 4</t>
        </is>
      </c>
      <c r="AD4" s="1" t="inlineStr">
        <is>
          <t>Episode 5</t>
        </is>
      </c>
      <c r="AH4" s="1" t="inlineStr">
        <is>
          <t>Episode 6</t>
        </is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>
        <f>MAX(L7:M7)</f>
        <v/>
      </c>
      <c r="G5">
        <f>D5+$B$2*F5</f>
        <v/>
      </c>
      <c r="H5">
        <f>$B$1*(G5-M6)</f>
        <v/>
      </c>
      <c r="K5" t="inlineStr">
        <is>
          <t>Left</t>
        </is>
      </c>
      <c r="L5" t="inlineStr">
        <is>
          <t>Right</t>
        </is>
      </c>
      <c r="O5" t="inlineStr">
        <is>
          <t>Left</t>
        </is>
      </c>
      <c r="P5" t="inlineStr">
        <is>
          <t>Right</t>
        </is>
      </c>
      <c r="S5" t="inlineStr">
        <is>
          <t>Left</t>
        </is>
      </c>
      <c r="T5" t="inlineStr">
        <is>
          <t>Right</t>
        </is>
      </c>
      <c r="W5" t="inlineStr">
        <is>
          <t>Left</t>
        </is>
      </c>
      <c r="X5" t="inlineStr">
        <is>
          <t>Right</t>
        </is>
      </c>
      <c r="AA5" t="inlineStr">
        <is>
          <t>Left</t>
        </is>
      </c>
      <c r="AB5" t="inlineStr">
        <is>
          <t>Right</t>
        </is>
      </c>
      <c r="AE5" t="inlineStr">
        <is>
          <t>Left</t>
        </is>
      </c>
      <c r="AF5" t="inlineStr">
        <is>
          <t>Right</t>
        </is>
      </c>
      <c r="AI5" t="inlineStr">
        <is>
          <t>Left</t>
        </is>
      </c>
      <c r="AJ5" t="inlineStr">
        <is>
          <t>Right</t>
        </is>
      </c>
    </row>
    <row r="6">
      <c r="A6" t="n">
        <v>2</v>
      </c>
      <c r="B6" t="n">
        <v>1</v>
      </c>
      <c r="C6" t="n">
        <v>1</v>
      </c>
      <c r="D6" t="n">
        <v>0</v>
      </c>
      <c r="E6" t="n">
        <v>2</v>
      </c>
      <c r="F6">
        <f>MAX(O8:P8)</f>
        <v/>
      </c>
      <c r="G6">
        <f>D6+$B$2*F6</f>
        <v/>
      </c>
      <c r="H6">
        <f>$B$1*(G6-P7)</f>
        <v/>
      </c>
      <c r="J6" t="inlineStr">
        <is>
          <t>S0</t>
        </is>
      </c>
      <c r="K6" t="n">
        <v>0</v>
      </c>
      <c r="L6" t="n">
        <v>0</v>
      </c>
      <c r="N6" t="inlineStr">
        <is>
          <t>S0</t>
        </is>
      </c>
      <c r="O6">
        <f>L6</f>
        <v/>
      </c>
      <c r="P6">
        <f>M6+$H$5</f>
        <v/>
      </c>
      <c r="R6" t="inlineStr">
        <is>
          <t>S0</t>
        </is>
      </c>
      <c r="S6">
        <f>O6</f>
        <v/>
      </c>
      <c r="T6">
        <f>P6</f>
        <v/>
      </c>
      <c r="V6" t="inlineStr">
        <is>
          <t>S0</t>
        </is>
      </c>
      <c r="W6">
        <f>S6</f>
        <v/>
      </c>
      <c r="X6">
        <f>T6</f>
        <v/>
      </c>
      <c r="Z6" t="inlineStr">
        <is>
          <t>S0</t>
        </is>
      </c>
      <c r="AA6">
        <f>W6</f>
        <v/>
      </c>
      <c r="AB6">
        <f>X6+$H$8</f>
        <v/>
      </c>
      <c r="AD6" t="inlineStr">
        <is>
          <t>S0</t>
        </is>
      </c>
      <c r="AE6">
        <f>AA6</f>
        <v/>
      </c>
      <c r="AF6">
        <f>AB6</f>
        <v/>
      </c>
      <c r="AH6" t="inlineStr">
        <is>
          <t>S0</t>
        </is>
      </c>
      <c r="AI6">
        <f>AE6</f>
        <v/>
      </c>
      <c r="AJ6">
        <f>AF6</f>
        <v/>
      </c>
    </row>
    <row r="7">
      <c r="A7" t="n">
        <v>3</v>
      </c>
      <c r="B7" t="n">
        <v>2</v>
      </c>
      <c r="C7" t="n">
        <v>1</v>
      </c>
      <c r="D7" t="n">
        <v>10</v>
      </c>
      <c r="E7" t="n">
        <v>2</v>
      </c>
      <c r="F7">
        <f>MAX(S8:T8)</f>
        <v/>
      </c>
      <c r="G7">
        <f>D7+$B$2*F7</f>
        <v/>
      </c>
      <c r="H7">
        <f>$B$1*(G7-T8)</f>
        <v/>
      </c>
      <c r="J7" t="inlineStr">
        <is>
          <t>S1</t>
        </is>
      </c>
      <c r="K7" t="n">
        <v>0</v>
      </c>
      <c r="L7" t="n">
        <v>0</v>
      </c>
      <c r="N7" t="inlineStr">
        <is>
          <t>S1</t>
        </is>
      </c>
      <c r="O7">
        <f>L7</f>
        <v/>
      </c>
      <c r="P7">
        <f>M7</f>
        <v/>
      </c>
      <c r="R7" t="inlineStr">
        <is>
          <t>S1</t>
        </is>
      </c>
      <c r="S7">
        <f>O7</f>
        <v/>
      </c>
      <c r="T7">
        <f>P7+$H$6</f>
        <v/>
      </c>
      <c r="V7" t="inlineStr">
        <is>
          <t>S1</t>
        </is>
      </c>
      <c r="W7">
        <f>S7</f>
        <v/>
      </c>
      <c r="X7">
        <f>T7</f>
        <v/>
      </c>
      <c r="Z7" t="inlineStr">
        <is>
          <t>S1</t>
        </is>
      </c>
      <c r="AA7">
        <f>W7</f>
        <v/>
      </c>
      <c r="AB7">
        <f>X7</f>
        <v/>
      </c>
      <c r="AD7" t="inlineStr">
        <is>
          <t>S1</t>
        </is>
      </c>
      <c r="AE7">
        <f>AA7</f>
        <v/>
      </c>
      <c r="AF7">
        <f>AB7+$H$9</f>
        <v/>
      </c>
      <c r="AH7" t="inlineStr">
        <is>
          <t>S1</t>
        </is>
      </c>
      <c r="AI7">
        <f>AE7</f>
        <v/>
      </c>
      <c r="AJ7">
        <f>AF7</f>
        <v/>
      </c>
    </row>
    <row r="8">
      <c r="A8" t="n">
        <v>4</v>
      </c>
      <c r="B8" t="n">
        <v>0</v>
      </c>
      <c r="C8" t="n">
        <v>1</v>
      </c>
      <c r="D8" t="n">
        <v>0</v>
      </c>
      <c r="E8" t="n">
        <v>1</v>
      </c>
      <c r="F8">
        <f>MAX(W7:X7)</f>
        <v/>
      </c>
      <c r="G8">
        <f>D8+$B$2*F8</f>
        <v/>
      </c>
      <c r="H8">
        <f>$B$1*(G8-X6)</f>
        <v/>
      </c>
      <c r="J8" t="inlineStr">
        <is>
          <t>S2</t>
        </is>
      </c>
      <c r="K8" t="n">
        <v>0</v>
      </c>
      <c r="L8" t="n">
        <v>0</v>
      </c>
      <c r="N8" t="inlineStr">
        <is>
          <t>S2</t>
        </is>
      </c>
      <c r="O8">
        <f>L8</f>
        <v/>
      </c>
      <c r="P8">
        <f>M8</f>
        <v/>
      </c>
      <c r="R8" t="inlineStr">
        <is>
          <t>S2</t>
        </is>
      </c>
      <c r="S8">
        <f>O8</f>
        <v/>
      </c>
      <c r="T8">
        <f>P8</f>
        <v/>
      </c>
      <c r="V8" t="inlineStr">
        <is>
          <t>S2</t>
        </is>
      </c>
      <c r="W8">
        <f>S8</f>
        <v/>
      </c>
      <c r="X8">
        <f>T8+$H$7</f>
        <v/>
      </c>
      <c r="Z8" t="inlineStr">
        <is>
          <t>S2</t>
        </is>
      </c>
      <c r="AA8">
        <f>W8</f>
        <v/>
      </c>
      <c r="AB8">
        <f>X8</f>
        <v/>
      </c>
      <c r="AD8" t="inlineStr">
        <is>
          <t>S2</t>
        </is>
      </c>
      <c r="AE8">
        <f>AA8</f>
        <v/>
      </c>
      <c r="AF8">
        <f>AB8</f>
        <v/>
      </c>
      <c r="AH8" t="inlineStr">
        <is>
          <t>S2</t>
        </is>
      </c>
      <c r="AI8">
        <f>AE8</f>
        <v/>
      </c>
      <c r="AJ8">
        <f>AF8+$H$10</f>
        <v/>
      </c>
    </row>
    <row r="9">
      <c r="A9" t="n">
        <v>5</v>
      </c>
      <c r="B9" t="n">
        <v>1</v>
      </c>
      <c r="C9" t="n">
        <v>1</v>
      </c>
      <c r="D9" t="n">
        <v>0</v>
      </c>
      <c r="E9" t="n">
        <v>2</v>
      </c>
      <c r="F9">
        <f>MAX(AA8:AB8)</f>
        <v/>
      </c>
      <c r="G9">
        <f>D9+$B$2*F9</f>
        <v/>
      </c>
      <c r="H9">
        <f>$B$1*(G9-AB7)</f>
        <v/>
      </c>
    </row>
    <row r="10">
      <c r="A10" t="n">
        <v>6</v>
      </c>
      <c r="B10" t="n">
        <v>2</v>
      </c>
      <c r="C10" t="n">
        <v>1</v>
      </c>
      <c r="D10" t="n">
        <v>10</v>
      </c>
      <c r="E10" t="n">
        <v>2</v>
      </c>
      <c r="F10">
        <f>MAX(AE8:AF8)</f>
        <v/>
      </c>
      <c r="G10">
        <f>D10+$B$2*F10</f>
        <v/>
      </c>
      <c r="H10">
        <f>$B$1*(G10-AF8)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n">
        <v>0.1</v>
      </c>
    </row>
    <row r="2">
      <c r="A2" t="inlineStr">
        <is>
          <t>Gamma</t>
        </is>
      </c>
      <c r="B2" t="n">
        <v>0.9</v>
      </c>
    </row>
    <row r="4">
      <c r="A4" t="inlineStr">
        <is>
          <t>Ep</t>
        </is>
      </c>
      <c r="B4" t="inlineStr">
        <is>
          <t>S</t>
        </is>
      </c>
      <c r="C4" t="inlineStr">
        <is>
          <t>A</t>
        </is>
      </c>
      <c r="D4" t="inlineStr">
        <is>
          <t>R</t>
        </is>
      </c>
      <c r="E4" t="inlineStr">
        <is>
          <t>S'</t>
        </is>
      </c>
      <c r="F4" t="inlineStr">
        <is>
          <t>UpdQ</t>
        </is>
      </c>
      <c r="G4" t="inlineStr">
        <is>
          <t>ArgmaxA</t>
        </is>
      </c>
      <c r="H4" t="inlineStr">
        <is>
          <t>Q_other</t>
        </is>
      </c>
      <c r="I4" t="inlineStr">
        <is>
          <t>Target</t>
        </is>
      </c>
      <c r="J4" t="inlineStr">
        <is>
          <t>Update</t>
        </is>
      </c>
      <c r="L4" s="1" t="inlineStr">
        <is>
          <t>Q1 - Episode 0</t>
        </is>
      </c>
      <c r="P4" s="1" t="inlineStr">
        <is>
          <t>Q2 - Episode 0</t>
        </is>
      </c>
      <c r="T4" s="1" t="inlineStr">
        <is>
          <t>Q1 - Ep 1</t>
        </is>
      </c>
      <c r="X4" s="1" t="inlineStr">
        <is>
          <t>Q2 - Ep 1</t>
        </is>
      </c>
      <c r="AB4" s="1" t="inlineStr">
        <is>
          <t>Q1 - Ep 2</t>
        </is>
      </c>
      <c r="AF4" s="1" t="inlineStr">
        <is>
          <t>Q2 - Ep 2</t>
        </is>
      </c>
      <c r="AJ4" s="1" t="inlineStr">
        <is>
          <t>Q1 - Ep 3</t>
        </is>
      </c>
      <c r="AN4" s="1" t="inlineStr">
        <is>
          <t>Q2 - Ep 3</t>
        </is>
      </c>
      <c r="AR4" s="1" t="inlineStr">
        <is>
          <t>Q1 - Ep 4</t>
        </is>
      </c>
      <c r="AV4" s="1" t="inlineStr">
        <is>
          <t>Q2 - Ep 4</t>
        </is>
      </c>
      <c r="AZ4" s="1" t="inlineStr">
        <is>
          <t>Q1 - Ep 5</t>
        </is>
      </c>
      <c r="BD4" s="1" t="inlineStr">
        <is>
          <t>Q2 - Ep 5</t>
        </is>
      </c>
      <c r="BH4" s="1" t="inlineStr">
        <is>
          <t>Q1 - Ep 6</t>
        </is>
      </c>
      <c r="BL4" s="1" t="inlineStr">
        <is>
          <t>Q2 - Ep 6</t>
        </is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>
        <f>IF(Q7&gt;R7,0,1)</f>
        <v/>
      </c>
      <c r="H5">
        <f>IF(G5=0,N7,O7)</f>
        <v/>
      </c>
      <c r="I5">
        <f>D5+$B$2*H5</f>
        <v/>
      </c>
      <c r="J5">
        <f>$B$1*(I5-R6)</f>
        <v/>
      </c>
      <c r="M5" t="inlineStr">
        <is>
          <t>Left</t>
        </is>
      </c>
      <c r="N5" t="inlineStr">
        <is>
          <t>Right</t>
        </is>
      </c>
      <c r="Q5" t="inlineStr">
        <is>
          <t>Left</t>
        </is>
      </c>
      <c r="R5" t="inlineStr">
        <is>
          <t>Right</t>
        </is>
      </c>
      <c r="U5" t="inlineStr">
        <is>
          <t>Left</t>
        </is>
      </c>
      <c r="V5" t="inlineStr">
        <is>
          <t>Right</t>
        </is>
      </c>
      <c r="Y5" t="inlineStr">
        <is>
          <t>Left</t>
        </is>
      </c>
      <c r="Z5" t="inlineStr">
        <is>
          <t>Right</t>
        </is>
      </c>
      <c r="AC5" t="inlineStr">
        <is>
          <t>Left</t>
        </is>
      </c>
      <c r="AD5" t="inlineStr">
        <is>
          <t>Right</t>
        </is>
      </c>
      <c r="AG5" t="inlineStr">
        <is>
          <t>Left</t>
        </is>
      </c>
      <c r="AH5" t="inlineStr">
        <is>
          <t>Right</t>
        </is>
      </c>
      <c r="AK5" t="inlineStr">
        <is>
          <t>Left</t>
        </is>
      </c>
      <c r="AL5" t="inlineStr">
        <is>
          <t>Right</t>
        </is>
      </c>
      <c r="AO5" t="inlineStr">
        <is>
          <t>Left</t>
        </is>
      </c>
      <c r="AP5" t="inlineStr">
        <is>
          <t>Right</t>
        </is>
      </c>
      <c r="AS5" t="inlineStr">
        <is>
          <t>Left</t>
        </is>
      </c>
      <c r="AT5" t="inlineStr">
        <is>
          <t>Right</t>
        </is>
      </c>
      <c r="AW5" t="inlineStr">
        <is>
          <t>Left</t>
        </is>
      </c>
      <c r="AX5" t="inlineStr">
        <is>
          <t>Right</t>
        </is>
      </c>
      <c r="BA5" t="inlineStr">
        <is>
          <t>Left</t>
        </is>
      </c>
      <c r="BB5" t="inlineStr">
        <is>
          <t>Right</t>
        </is>
      </c>
      <c r="BE5" t="inlineStr">
        <is>
          <t>Left</t>
        </is>
      </c>
      <c r="BF5" t="inlineStr">
        <is>
          <t>Right</t>
        </is>
      </c>
      <c r="BI5" t="inlineStr">
        <is>
          <t>Left</t>
        </is>
      </c>
      <c r="BJ5" t="inlineStr">
        <is>
          <t>Right</t>
        </is>
      </c>
      <c r="BM5" t="inlineStr">
        <is>
          <t>Left</t>
        </is>
      </c>
      <c r="BN5" t="inlineStr">
        <is>
          <t>Right</t>
        </is>
      </c>
    </row>
    <row r="6">
      <c r="A6" t="n">
        <v>2</v>
      </c>
      <c r="B6" t="n">
        <v>1</v>
      </c>
      <c r="C6" t="n">
        <v>1</v>
      </c>
      <c r="D6" t="n">
        <v>0</v>
      </c>
      <c r="E6" t="n">
        <v>2</v>
      </c>
      <c r="F6" t="n">
        <v>1</v>
      </c>
      <c r="G6">
        <f>IF(U8&gt;V8,0,1)</f>
        <v/>
      </c>
      <c r="H6">
        <f>IF(G6=0,Y8,Z8)</f>
        <v/>
      </c>
      <c r="I6">
        <f>D6+$B$2*H6</f>
        <v/>
      </c>
      <c r="J6">
        <f>$B$1*(I6-V7)</f>
        <v/>
      </c>
      <c r="L6" t="inlineStr">
        <is>
          <t>S0</t>
        </is>
      </c>
      <c r="M6" t="n">
        <v>0</v>
      </c>
      <c r="N6" t="n">
        <v>0</v>
      </c>
      <c r="P6" t="inlineStr">
        <is>
          <t>S0</t>
        </is>
      </c>
      <c r="Q6" t="n">
        <v>0</v>
      </c>
      <c r="R6" t="n">
        <v>0</v>
      </c>
      <c r="T6" t="inlineStr">
        <is>
          <t>S0</t>
        </is>
      </c>
      <c r="U6">
        <f>N6</f>
        <v/>
      </c>
      <c r="V6">
        <f>O6</f>
        <v/>
      </c>
      <c r="X6" t="inlineStr">
        <is>
          <t>S0</t>
        </is>
      </c>
      <c r="Y6">
        <f>Q6</f>
        <v/>
      </c>
      <c r="Z6">
        <f>R6+$J$5</f>
        <v/>
      </c>
      <c r="AB6" t="inlineStr">
        <is>
          <t>S0</t>
        </is>
      </c>
      <c r="AC6">
        <f>U6</f>
        <v/>
      </c>
      <c r="AD6">
        <f>V6</f>
        <v/>
      </c>
      <c r="AF6" t="inlineStr">
        <is>
          <t>S0</t>
        </is>
      </c>
      <c r="AG6">
        <f>Y6</f>
        <v/>
      </c>
      <c r="AH6">
        <f>Z6</f>
        <v/>
      </c>
      <c r="AJ6" t="inlineStr">
        <is>
          <t>S0</t>
        </is>
      </c>
      <c r="AK6">
        <f>AC6</f>
        <v/>
      </c>
      <c r="AL6">
        <f>AD6</f>
        <v/>
      </c>
      <c r="AN6" t="inlineStr">
        <is>
          <t>S0</t>
        </is>
      </c>
      <c r="AO6">
        <f>AG6</f>
        <v/>
      </c>
      <c r="AP6">
        <f>AH6</f>
        <v/>
      </c>
      <c r="AR6" t="inlineStr">
        <is>
          <t>S0</t>
        </is>
      </c>
      <c r="AS6">
        <f>AK6</f>
        <v/>
      </c>
      <c r="AT6">
        <f>AL6+$J$8</f>
        <v/>
      </c>
      <c r="AV6" t="inlineStr">
        <is>
          <t>S0</t>
        </is>
      </c>
      <c r="AW6">
        <f>AO6</f>
        <v/>
      </c>
      <c r="AX6">
        <f>AP6</f>
        <v/>
      </c>
      <c r="AZ6" t="inlineStr">
        <is>
          <t>S0</t>
        </is>
      </c>
      <c r="BA6">
        <f>AS6</f>
        <v/>
      </c>
      <c r="BB6">
        <f>AT6</f>
        <v/>
      </c>
      <c r="BD6" t="inlineStr">
        <is>
          <t>S0</t>
        </is>
      </c>
      <c r="BE6">
        <f>AW6</f>
        <v/>
      </c>
      <c r="BF6">
        <f>AX6</f>
        <v/>
      </c>
      <c r="BH6" t="inlineStr">
        <is>
          <t>S0</t>
        </is>
      </c>
      <c r="BI6">
        <f>BA6</f>
        <v/>
      </c>
      <c r="BJ6">
        <f>BB6</f>
        <v/>
      </c>
      <c r="BL6" t="inlineStr">
        <is>
          <t>S0</t>
        </is>
      </c>
      <c r="BM6">
        <f>BE6</f>
        <v/>
      </c>
      <c r="BN6">
        <f>BF6</f>
        <v/>
      </c>
    </row>
    <row r="7">
      <c r="A7" t="n">
        <v>3</v>
      </c>
      <c r="B7" t="n">
        <v>2</v>
      </c>
      <c r="C7" t="n">
        <v>1</v>
      </c>
      <c r="D7" t="n">
        <v>10</v>
      </c>
      <c r="E7" t="n">
        <v>2</v>
      </c>
      <c r="F7" t="n">
        <v>2</v>
      </c>
      <c r="G7">
        <f>IF(AG8&gt;AH8,0,1)</f>
        <v/>
      </c>
      <c r="H7">
        <f>IF(G7=0,AC8,AD8)</f>
        <v/>
      </c>
      <c r="I7">
        <f>D7+$B$2*H7</f>
        <v/>
      </c>
      <c r="J7">
        <f>$B$1*(I7-AH8)</f>
        <v/>
      </c>
      <c r="L7" t="inlineStr">
        <is>
          <t>S1</t>
        </is>
      </c>
      <c r="M7" t="n">
        <v>0</v>
      </c>
      <c r="N7" t="n">
        <v>0</v>
      </c>
      <c r="P7" t="inlineStr">
        <is>
          <t>S1</t>
        </is>
      </c>
      <c r="Q7" t="n">
        <v>0</v>
      </c>
      <c r="R7" t="n">
        <v>0</v>
      </c>
      <c r="T7" t="inlineStr">
        <is>
          <t>S1</t>
        </is>
      </c>
      <c r="U7">
        <f>N7</f>
        <v/>
      </c>
      <c r="V7">
        <f>O7</f>
        <v/>
      </c>
      <c r="X7" t="inlineStr">
        <is>
          <t>S1</t>
        </is>
      </c>
      <c r="Y7">
        <f>Q7</f>
        <v/>
      </c>
      <c r="Z7">
        <f>R7</f>
        <v/>
      </c>
      <c r="AB7" t="inlineStr">
        <is>
          <t>S1</t>
        </is>
      </c>
      <c r="AC7">
        <f>U7</f>
        <v/>
      </c>
      <c r="AD7">
        <f>V7+$J$6</f>
        <v/>
      </c>
      <c r="AF7" t="inlineStr">
        <is>
          <t>S1</t>
        </is>
      </c>
      <c r="AG7">
        <f>Y7</f>
        <v/>
      </c>
      <c r="AH7">
        <f>Z7</f>
        <v/>
      </c>
      <c r="AJ7" t="inlineStr">
        <is>
          <t>S1</t>
        </is>
      </c>
      <c r="AK7">
        <f>AC7</f>
        <v/>
      </c>
      <c r="AL7">
        <f>AD7</f>
        <v/>
      </c>
      <c r="AN7" t="inlineStr">
        <is>
          <t>S1</t>
        </is>
      </c>
      <c r="AO7">
        <f>AG7</f>
        <v/>
      </c>
      <c r="AP7">
        <f>AH7</f>
        <v/>
      </c>
      <c r="AR7" t="inlineStr">
        <is>
          <t>S1</t>
        </is>
      </c>
      <c r="AS7">
        <f>AK7</f>
        <v/>
      </c>
      <c r="AT7">
        <f>AL7</f>
        <v/>
      </c>
      <c r="AV7" t="inlineStr">
        <is>
          <t>S1</t>
        </is>
      </c>
      <c r="AW7">
        <f>AO7</f>
        <v/>
      </c>
      <c r="AX7">
        <f>AP7</f>
        <v/>
      </c>
      <c r="AZ7" t="inlineStr">
        <is>
          <t>S1</t>
        </is>
      </c>
      <c r="BA7">
        <f>AS7</f>
        <v/>
      </c>
      <c r="BB7">
        <f>AT7</f>
        <v/>
      </c>
      <c r="BD7" t="inlineStr">
        <is>
          <t>S1</t>
        </is>
      </c>
      <c r="BE7">
        <f>AW7</f>
        <v/>
      </c>
      <c r="BF7">
        <f>AX7+$J$9</f>
        <v/>
      </c>
      <c r="BH7" t="inlineStr">
        <is>
          <t>S1</t>
        </is>
      </c>
      <c r="BI7">
        <f>BA7</f>
        <v/>
      </c>
      <c r="BJ7">
        <f>BB7</f>
        <v/>
      </c>
      <c r="BL7" t="inlineStr">
        <is>
          <t>S1</t>
        </is>
      </c>
      <c r="BM7">
        <f>BE7</f>
        <v/>
      </c>
      <c r="BN7">
        <f>BF7</f>
        <v/>
      </c>
    </row>
    <row r="8">
      <c r="A8" t="n">
        <v>4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>
        <f>IF(AK7&gt;AL7,0,1)</f>
        <v/>
      </c>
      <c r="H8">
        <f>IF(G8=0,AO7,AP7)</f>
        <v/>
      </c>
      <c r="I8">
        <f>D8+$B$2*H8</f>
        <v/>
      </c>
      <c r="J8">
        <f>$B$1*(I8-AL6)</f>
        <v/>
      </c>
      <c r="L8" t="inlineStr">
        <is>
          <t>S2</t>
        </is>
      </c>
      <c r="M8" t="n">
        <v>0</v>
      </c>
      <c r="N8" t="n">
        <v>0</v>
      </c>
      <c r="P8" t="inlineStr">
        <is>
          <t>S2</t>
        </is>
      </c>
      <c r="Q8" t="n">
        <v>0</v>
      </c>
      <c r="R8" t="n">
        <v>0</v>
      </c>
      <c r="T8" t="inlineStr">
        <is>
          <t>S2</t>
        </is>
      </c>
      <c r="U8">
        <f>N8</f>
        <v/>
      </c>
      <c r="V8">
        <f>O8</f>
        <v/>
      </c>
      <c r="X8" t="inlineStr">
        <is>
          <t>S2</t>
        </is>
      </c>
      <c r="Y8">
        <f>Q8</f>
        <v/>
      </c>
      <c r="Z8">
        <f>R8</f>
        <v/>
      </c>
      <c r="AB8" t="inlineStr">
        <is>
          <t>S2</t>
        </is>
      </c>
      <c r="AC8">
        <f>U8</f>
        <v/>
      </c>
      <c r="AD8">
        <f>V8</f>
        <v/>
      </c>
      <c r="AF8" t="inlineStr">
        <is>
          <t>S2</t>
        </is>
      </c>
      <c r="AG8">
        <f>Y8</f>
        <v/>
      </c>
      <c r="AH8">
        <f>Z8</f>
        <v/>
      </c>
      <c r="AJ8" t="inlineStr">
        <is>
          <t>S2</t>
        </is>
      </c>
      <c r="AK8">
        <f>AC8</f>
        <v/>
      </c>
      <c r="AL8">
        <f>AD8</f>
        <v/>
      </c>
      <c r="AN8" t="inlineStr">
        <is>
          <t>S2</t>
        </is>
      </c>
      <c r="AO8">
        <f>AG8</f>
        <v/>
      </c>
      <c r="AP8">
        <f>AH8+$J$7</f>
        <v/>
      </c>
      <c r="AR8" t="inlineStr">
        <is>
          <t>S2</t>
        </is>
      </c>
      <c r="AS8">
        <f>AK8</f>
        <v/>
      </c>
      <c r="AT8">
        <f>AL8</f>
        <v/>
      </c>
      <c r="AV8" t="inlineStr">
        <is>
          <t>S2</t>
        </is>
      </c>
      <c r="AW8">
        <f>AO8</f>
        <v/>
      </c>
      <c r="AX8">
        <f>AP8</f>
        <v/>
      </c>
      <c r="AZ8" t="inlineStr">
        <is>
          <t>S2</t>
        </is>
      </c>
      <c r="BA8">
        <f>AS8</f>
        <v/>
      </c>
      <c r="BB8">
        <f>AT8</f>
        <v/>
      </c>
      <c r="BD8" t="inlineStr">
        <is>
          <t>S2</t>
        </is>
      </c>
      <c r="BE8">
        <f>AW8</f>
        <v/>
      </c>
      <c r="BF8">
        <f>AX8</f>
        <v/>
      </c>
      <c r="BH8" t="inlineStr">
        <is>
          <t>S2</t>
        </is>
      </c>
      <c r="BI8">
        <f>BA8</f>
        <v/>
      </c>
      <c r="BJ8">
        <f>BB8+$J$10</f>
        <v/>
      </c>
      <c r="BL8" t="inlineStr">
        <is>
          <t>S2</t>
        </is>
      </c>
      <c r="BM8">
        <f>BE8</f>
        <v/>
      </c>
      <c r="BN8">
        <f>BF8</f>
        <v/>
      </c>
    </row>
    <row r="9">
      <c r="A9" t="n">
        <v>5</v>
      </c>
      <c r="B9" t="n">
        <v>1</v>
      </c>
      <c r="C9" t="n">
        <v>1</v>
      </c>
      <c r="D9" t="n">
        <v>0</v>
      </c>
      <c r="E9" t="n">
        <v>2</v>
      </c>
      <c r="F9" t="n">
        <v>2</v>
      </c>
      <c r="G9">
        <f>IF(AW8&gt;AX8,0,1)</f>
        <v/>
      </c>
      <c r="H9">
        <f>IF(G9=0,AS8,AT8)</f>
        <v/>
      </c>
      <c r="I9">
        <f>D9+$B$2*H9</f>
        <v/>
      </c>
      <c r="J9">
        <f>$B$1*(I9-AX7)</f>
        <v/>
      </c>
    </row>
    <row r="10">
      <c r="A10" t="n">
        <v>6</v>
      </c>
      <c r="B10" t="n">
        <v>2</v>
      </c>
      <c r="C10" t="n">
        <v>1</v>
      </c>
      <c r="D10" t="n">
        <v>10</v>
      </c>
      <c r="E10" t="n">
        <v>2</v>
      </c>
      <c r="F10" t="n">
        <v>1</v>
      </c>
      <c r="G10">
        <f>IF(BA8&gt;BB8,0,1)</f>
        <v/>
      </c>
      <c r="H10">
        <f>IF(G10=0,BE8,BF8)</f>
        <v/>
      </c>
      <c r="I10">
        <f>D10+$B$2*H10</f>
        <v/>
      </c>
      <c r="J10">
        <f>$B$1*(I10-BB8)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Q-Learning vs Double Q-Learning</t>
        </is>
      </c>
    </row>
    <row r="3">
      <c r="A3" t="inlineStr">
        <is>
          <t>Q-Learning:</t>
        </is>
      </c>
    </row>
    <row r="4">
      <c r="A4" t="inlineStr">
        <is>
          <t>• Single Q-table</t>
        </is>
      </c>
    </row>
    <row r="5">
      <c r="A5" t="inlineStr">
        <is>
          <t>• Target = R + γ * MAX(Q(s',a'))</t>
        </is>
      </c>
    </row>
    <row r="6">
      <c r="A6" t="inlineStr">
        <is>
          <t>• Overestimates Q-values (max operator bias)</t>
        </is>
      </c>
    </row>
    <row r="8">
      <c r="A8" t="inlineStr">
        <is>
          <t>Double Q-Learning:</t>
        </is>
      </c>
    </row>
    <row r="9">
      <c r="A9" t="inlineStr">
        <is>
          <t>• Two Q-tables (Q1, Q2)</t>
        </is>
      </c>
    </row>
    <row r="10">
      <c r="A10" t="inlineStr">
        <is>
          <t>• Randomly update Q1 or Q2</t>
        </is>
      </c>
    </row>
    <row r="11">
      <c r="A11" t="inlineStr">
        <is>
          <t>• Use one to SELECT best action</t>
        </is>
      </c>
    </row>
    <row r="12">
      <c r="A12" t="inlineStr">
        <is>
          <t>• Use OTHER to EVALUATE that action</t>
        </is>
      </c>
    </row>
    <row r="13">
      <c r="A13" t="inlineStr">
        <is>
          <t>• Target = R + γ * Q_other(s', argmax_a Q(s',a'))</t>
        </is>
      </c>
    </row>
    <row r="14">
      <c r="A14" t="inlineStr">
        <is>
          <t>• Reduces overestimation 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2025-10-26T00:05:23Z</dcterms:created>
  <dcterms:modified xmlns:dcterms="http://purl.org/dc/terms/" xmlns:xsi="http://www.w3.org/2001/XMLSchema-instance" xsi:type="dcterms:W3CDTF">2025-10-26T00:05:23Z</dcterms:modified>
</cp:coreProperties>
</file>