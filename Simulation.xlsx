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aohu/Documents/"/>
    </mc:Choice>
  </mc:AlternateContent>
  <xr:revisionPtr revIDLastSave="0" documentId="13_ncr:1_{C36F4F01-6FCF-774E-97CD-09D82D75B6E2}" xr6:coauthVersionLast="47" xr6:coauthVersionMax="47" xr10:uidLastSave="{00000000-0000-0000-0000-000000000000}"/>
  <bookViews>
    <workbookView xWindow="3940" yWindow="-27040" windowWidth="41100" windowHeight="21460" activeTab="1" xr2:uid="{29CCD051-1B56-1F4E-BBF4-A9BF025B3FA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M3" i="1"/>
  <c r="B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  <c r="H3" i="1" s="1"/>
  <c r="F3" i="1" s="1"/>
  <c r="G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2" i="1"/>
  <c r="H2" i="1" s="1"/>
  <c r="K2" i="1"/>
  <c r="L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F4" i="1" l="1"/>
  <c r="F5" i="1" s="1"/>
  <c r="F6" i="1" s="1"/>
  <c r="F7" i="1" s="1"/>
  <c r="F8" i="1" s="1"/>
  <c r="F9" i="1" s="1"/>
  <c r="F10" i="1" s="1"/>
  <c r="F11" i="1" s="1"/>
  <c r="F12" i="1" s="1"/>
  <c r="E31" i="1"/>
  <c r="E20" i="1"/>
  <c r="E29" i="1"/>
  <c r="E27" i="1"/>
  <c r="E9" i="1"/>
  <c r="E17" i="1"/>
  <c r="E12" i="1"/>
  <c r="E22" i="1"/>
  <c r="E8" i="1"/>
  <c r="E19" i="1"/>
  <c r="E3" i="1"/>
  <c r="E18" i="1"/>
  <c r="E30" i="1"/>
  <c r="E11" i="1"/>
  <c r="E28" i="1"/>
  <c r="E10" i="1"/>
  <c r="E21" i="1"/>
  <c r="E7" i="1"/>
  <c r="E23" i="1"/>
  <c r="E13" i="1"/>
  <c r="E26" i="1"/>
  <c r="E16" i="1"/>
  <c r="E6" i="1"/>
  <c r="E25" i="1"/>
  <c r="E15" i="1"/>
  <c r="E5" i="1"/>
  <c r="E24" i="1"/>
  <c r="E14" i="1"/>
  <c r="E4" i="1"/>
  <c r="F13" i="1" l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G4" i="1"/>
  <c r="G5" i="1" l="1"/>
  <c r="G6" i="1" l="1"/>
  <c r="G7" i="1" l="1"/>
  <c r="G8" i="1" l="1"/>
  <c r="G9" i="1" l="1"/>
  <c r="G10" i="1" l="1"/>
  <c r="G11" i="1" l="1"/>
  <c r="G12" i="1" l="1"/>
  <c r="G13" i="1" l="1"/>
  <c r="G14" i="1" l="1"/>
  <c r="G15" i="1" l="1"/>
  <c r="G16" i="1" l="1"/>
  <c r="G17" i="1" l="1"/>
  <c r="G18" i="1" l="1"/>
  <c r="G19" i="1" l="1"/>
  <c r="G20" i="1" l="1"/>
  <c r="G21" i="1" l="1"/>
  <c r="G22" i="1" l="1"/>
  <c r="G23" i="1" l="1"/>
  <c r="G24" i="1" l="1"/>
  <c r="G25" i="1" l="1"/>
  <c r="G26" i="1" l="1"/>
  <c r="G27" i="1" l="1"/>
  <c r="G28" i="1" l="1"/>
  <c r="G29" i="1" l="1"/>
  <c r="G31" i="1" l="1"/>
  <c r="G30" i="1"/>
</calcChain>
</file>

<file path=xl/sharedStrings.xml><?xml version="1.0" encoding="utf-8"?>
<sst xmlns="http://schemas.openxmlformats.org/spreadsheetml/2006/main" count="13" uniqueCount="12">
  <si>
    <t>short term rate</t>
  </si>
  <si>
    <t>Year</t>
  </si>
  <si>
    <t>base growth</t>
  </si>
  <si>
    <t>std</t>
  </si>
  <si>
    <t>p/e</t>
  </si>
  <si>
    <t>senario1</t>
  </si>
  <si>
    <t>scenario2</t>
  </si>
  <si>
    <t>discount rate</t>
  </si>
  <si>
    <t>discount</t>
  </si>
  <si>
    <t>real</t>
  </si>
  <si>
    <t>grrowth rate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</si>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</sst>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10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4713-619F-9D4C-AFE8-059F0278D4FE}">
  <sheetPr codeName="Sheet1"/>
  <dimension ref="A1:N31"/>
  <sheetViews>
    <sheetView workbookViewId="0">
      <selection activeCell="N3" sqref="N3"/>
    </sheetView>
  </sheetViews>
  <sheetFormatPr baseColWidth="10" defaultRowHeight="16" x14ac:dyDescent="0.2"/>
  <cols>
    <col min="2" max="2" width="10.83203125" style="1"/>
    <col min="3" max="4" width="10.83203125" style="2"/>
    <col min="6" max="6" width="14.1640625" style="2" customWidth="1"/>
    <col min="7" max="7" width="10.83203125" style="2"/>
    <col min="9" max="9" width="10.83203125" style="1"/>
    <col min="11" max="11" width="10.83203125" style="1"/>
    <col min="12" max="12" width="10.83203125" style="2"/>
    <col min="13" max="14" width="10.83203125" style="1"/>
  </cols>
  <sheetData>
    <row r="1" spans="1:14" x14ac:dyDescent="0.2">
      <c r="A1" t="s">
        <v>1</v>
      </c>
      <c r="B1" s="1" t="s">
        <v>7</v>
      </c>
      <c r="C1" s="2" t="s">
        <v>8</v>
      </c>
      <c r="D1" s="2" t="s">
        <v>5</v>
      </c>
      <c r="E1" t="s">
        <v>9</v>
      </c>
      <c r="F1" s="2" t="s">
        <v>6</v>
      </c>
      <c r="G1" s="2" t="s">
        <v>9</v>
      </c>
      <c r="H1" t="s">
        <v>11</v>
      </c>
      <c r="I1" s="1" t="s">
        <v>10</v>
      </c>
      <c r="K1" s="1" t="s">
        <v>0</v>
      </c>
      <c r="L1" s="2" t="s">
        <v>4</v>
      </c>
      <c r="M1" s="1" t="s">
        <v>2</v>
      </c>
      <c r="N1" s="1" t="s">
        <v>3</v>
      </c>
    </row>
    <row r="2" spans="1:14" x14ac:dyDescent="0.2">
      <c r="A2">
        <v>0</v>
      </c>
      <c r="B2" s="1">
        <f>K2+0.02</f>
        <v>6.3700000000000007E-2</v>
      </c>
      <c r="C2" s="2">
        <v>1</v>
      </c>
      <c r="D2" s="2">
        <v>1</v>
      </c>
      <c r="E2">
        <v>1</v>
      </c>
      <c r="F2" s="2">
        <v>1</v>
      </c>
      <c r="G2" s="2">
        <v>1</v>
      </c>
      <c r="H2" s="1">
        <f ca="1">1+I2</f>
        <v>1.1850395926379895</v>
      </c>
      <c r="I2" s="1">
        <f ca="1">_xlfn.NORM.INV(RAND(), $M$2, $N$2)</f>
        <v>0.18503959263798941</v>
      </c>
      <c r="K2" s="1">
        <f>0.0437</f>
        <v>4.3700000000000003E-2</v>
      </c>
      <c r="L2" s="2">
        <f>1/K2</f>
        <v>22.883295194508008</v>
      </c>
      <c r="M2" s="1">
        <v>0.15</v>
      </c>
      <c r="N2" s="1">
        <v>0.1</v>
      </c>
    </row>
    <row r="3" spans="1:14" x14ac:dyDescent="0.2">
      <c r="A3">
        <f>A2+1</f>
        <v>1</v>
      </c>
      <c r="C3" s="2">
        <f>C2/(1+$B$2)</f>
        <v>0.94011469399266701</v>
      </c>
      <c r="D3" s="2">
        <f>D2*(1+$B$2)</f>
        <v>1.0637000000000001</v>
      </c>
      <c r="E3">
        <f>D3*C3</f>
        <v>1</v>
      </c>
      <c r="F3" s="2">
        <f ca="1">F2+$B$2*H3</f>
        <v>1.0634205409249553</v>
      </c>
      <c r="G3" s="2">
        <f ca="1">F3*C3</f>
        <v>0.9997372764171808</v>
      </c>
      <c r="H3" s="1">
        <f t="shared" ref="H3:H31" ca="1" si="0">1+I3</f>
        <v>0.99561288736193421</v>
      </c>
      <c r="I3" s="1">
        <f t="shared" ref="I3:I31" ca="1" si="1">_xlfn.NORM.INV(RAND(), $M$2, $N$2)</f>
        <v>-4.3871126380657932E-3</v>
      </c>
      <c r="M3" s="2">
        <f>(M2-N2*N2/2)/B2</f>
        <v>2.2762951334379902</v>
      </c>
    </row>
    <row r="4" spans="1:14" x14ac:dyDescent="0.2">
      <c r="A4">
        <f t="shared" ref="A4:A30" si="2">A3+1</f>
        <v>2</v>
      </c>
      <c r="C4" s="2">
        <f>C3/(1+$B$2)</f>
        <v>0.88381563786092598</v>
      </c>
      <c r="D4" s="2">
        <f>D3*(1+$B$2)</f>
        <v>1.1314576900000002</v>
      </c>
      <c r="E4">
        <f>D4*C4</f>
        <v>1</v>
      </c>
      <c r="F4" s="2">
        <f ca="1">F3*H4</f>
        <v>1.2467711632314373</v>
      </c>
      <c r="G4" s="2">
        <f t="shared" ref="G4:G31" ca="1" si="3">F4*C4</f>
        <v>1.1019158508980014</v>
      </c>
      <c r="H4" s="1">
        <f t="shared" ca="1" si="0"/>
        <v>1.1724159119091353</v>
      </c>
      <c r="I4" s="1">
        <f t="shared" ca="1" si="1"/>
        <v>0.17241591190913519</v>
      </c>
    </row>
    <row r="5" spans="1:14" x14ac:dyDescent="0.2">
      <c r="A5">
        <f t="shared" si="2"/>
        <v>3</v>
      </c>
      <c r="C5" s="2">
        <f>C4/(1+$B$2)</f>
        <v>0.83088806793355829</v>
      </c>
      <c r="D5" s="2">
        <f>D4*(1+$B$2)</f>
        <v>1.2035315448530004</v>
      </c>
      <c r="E5">
        <f>D5*C5</f>
        <v>1.0000000000000002</v>
      </c>
      <c r="F5" s="2">
        <f t="shared" ref="F5:F31" ca="1" si="4">F4*H5</f>
        <v>1.3452540483784037</v>
      </c>
      <c r="G5" s="2">
        <f t="shared" ca="1" si="3"/>
        <v>1.1177555371369294</v>
      </c>
      <c r="H5" s="1">
        <f t="shared" ca="1" si="0"/>
        <v>1.078990345663525</v>
      </c>
      <c r="I5" s="1">
        <f t="shared" ca="1" si="1"/>
        <v>7.8990345663525113E-2</v>
      </c>
    </row>
    <row r="6" spans="1:14" x14ac:dyDescent="0.2">
      <c r="A6">
        <f t="shared" si="2"/>
        <v>4</v>
      </c>
      <c r="C6" s="2">
        <f>C5/(1+$B$2)</f>
        <v>0.78113008172751552</v>
      </c>
      <c r="D6" s="2">
        <f>D5*(1+$B$2)</f>
        <v>1.2801965042601366</v>
      </c>
      <c r="E6">
        <f>D6*C6</f>
        <v>1.0000000000000002</v>
      </c>
      <c r="F6" s="2">
        <f t="shared" ca="1" si="4"/>
        <v>1.6153381065410934</v>
      </c>
      <c r="G6" s="2">
        <f t="shared" ca="1" si="3"/>
        <v>1.2617891871800144</v>
      </c>
      <c r="H6" s="1">
        <f t="shared" ca="1" si="0"/>
        <v>1.2007680694128031</v>
      </c>
      <c r="I6" s="1">
        <f t="shared" ca="1" si="1"/>
        <v>0.20076806941280317</v>
      </c>
    </row>
    <row r="7" spans="1:14" x14ac:dyDescent="0.2">
      <c r="A7">
        <f t="shared" si="2"/>
        <v>5</v>
      </c>
      <c r="C7" s="2">
        <f>C6/(1+$B$2)</f>
        <v>0.73435186775173023</v>
      </c>
      <c r="D7" s="2">
        <f>D6*(1+$B$2)</f>
        <v>1.3617450215815075</v>
      </c>
      <c r="E7">
        <f>D7*C7</f>
        <v>1.0000000000000002</v>
      </c>
      <c r="F7" s="2">
        <f t="shared" ca="1" si="4"/>
        <v>1.772846828263325</v>
      </c>
      <c r="G7" s="2">
        <f t="shared" ca="1" si="3"/>
        <v>1.3018933795729035</v>
      </c>
      <c r="H7" s="1">
        <f t="shared" ca="1" si="0"/>
        <v>1.09750820653857</v>
      </c>
      <c r="I7" s="1">
        <f t="shared" ca="1" si="1"/>
        <v>9.7508206538569869E-2</v>
      </c>
    </row>
    <row r="8" spans="1:14" x14ac:dyDescent="0.2">
      <c r="A8">
        <f t="shared" si="2"/>
        <v>6</v>
      </c>
      <c r="C8" s="2">
        <f>C7/(1+$B$2)</f>
        <v>0.69037498143436138</v>
      </c>
      <c r="D8" s="2">
        <f>D7*(1+$B$2)</f>
        <v>1.4484881794562496</v>
      </c>
      <c r="E8">
        <f>D8*C8</f>
        <v>1.0000000000000002</v>
      </c>
      <c r="F8" s="2">
        <f t="shared" ca="1" si="4"/>
        <v>1.9074474382013578</v>
      </c>
      <c r="G8" s="2">
        <f t="shared" ca="1" si="3"/>
        <v>1.3168539897352824</v>
      </c>
      <c r="H8" s="1">
        <f t="shared" ca="1" si="0"/>
        <v>1.075923428799479</v>
      </c>
      <c r="I8" s="1">
        <f t="shared" ca="1" si="1"/>
        <v>7.5923428799479095E-2</v>
      </c>
    </row>
    <row r="9" spans="1:14" x14ac:dyDescent="0.2">
      <c r="A9">
        <f t="shared" si="2"/>
        <v>7</v>
      </c>
      <c r="C9" s="2">
        <f>C8/(1+$B$2)</f>
        <v>0.64903166441135784</v>
      </c>
      <c r="D9" s="2">
        <f>D8*(1+$B$2)</f>
        <v>1.5407568764876129</v>
      </c>
      <c r="E9">
        <f>D9*C9</f>
        <v>1.0000000000000004</v>
      </c>
      <c r="F9" s="2">
        <f t="shared" ca="1" si="4"/>
        <v>2.321417846710379</v>
      </c>
      <c r="G9" s="2">
        <f t="shared" ca="1" si="3"/>
        <v>1.5066736888446677</v>
      </c>
      <c r="H9" s="1">
        <f t="shared" ca="1" si="0"/>
        <v>1.2170284749232083</v>
      </c>
      <c r="I9" s="1">
        <f t="shared" ca="1" si="1"/>
        <v>0.21702847492320829</v>
      </c>
    </row>
    <row r="10" spans="1:14" x14ac:dyDescent="0.2">
      <c r="A10">
        <f t="shared" si="2"/>
        <v>8</v>
      </c>
      <c r="C10" s="2">
        <f>C9/(1+$B$2)</f>
        <v>0.61016420457963505</v>
      </c>
      <c r="D10" s="2">
        <f>D9*(1+$B$2)</f>
        <v>1.638903089519874</v>
      </c>
      <c r="E10">
        <f>D10*C10</f>
        <v>1.0000000000000002</v>
      </c>
      <c r="F10" s="2">
        <f t="shared" ca="1" si="4"/>
        <v>2.9781119517322394</v>
      </c>
      <c r="G10" s="2">
        <f t="shared" ca="1" si="3"/>
        <v>1.8171373101778063</v>
      </c>
      <c r="H10" s="1">
        <f t="shared" ca="1" si="0"/>
        <v>1.2828849213649514</v>
      </c>
      <c r="I10" s="1">
        <f t="shared" ca="1" si="1"/>
        <v>0.2828849213649513</v>
      </c>
    </row>
    <row r="11" spans="1:14" ht="17" customHeight="1" x14ac:dyDescent="0.2">
      <c r="A11">
        <f t="shared" si="2"/>
        <v>9</v>
      </c>
      <c r="C11" s="2">
        <f>C10/(1+$B$2)</f>
        <v>0.57362433447366268</v>
      </c>
      <c r="D11" s="2">
        <f>D10*(1+$B$2)</f>
        <v>1.7433012163222901</v>
      </c>
      <c r="E11">
        <f>D11*C11</f>
        <v>1.0000000000000002</v>
      </c>
      <c r="F11" s="2">
        <f t="shared" ca="1" si="4"/>
        <v>3.3989025135428719</v>
      </c>
      <c r="G11" s="2">
        <f t="shared" ca="1" si="3"/>
        <v>1.9496931922718892</v>
      </c>
      <c r="H11" s="1">
        <f t="shared" ca="1" si="0"/>
        <v>1.1412944068693847</v>
      </c>
      <c r="I11" s="1">
        <f t="shared" ca="1" si="1"/>
        <v>0.14129440686938463</v>
      </c>
    </row>
    <row r="12" spans="1:14" s="6" customFormat="1" x14ac:dyDescent="0.2">
      <c r="A12" s="6">
        <f t="shared" si="2"/>
        <v>10</v>
      </c>
      <c r="B12" s="7"/>
      <c r="C12" s="8">
        <f>C11/(1+$B$2)</f>
        <v>0.53927266567045462</v>
      </c>
      <c r="D12" s="8">
        <f>D11*(1+$B$2)</f>
        <v>1.8543495038020201</v>
      </c>
      <c r="E12" s="6">
        <f>D12*C12</f>
        <v>1.0000000000000002</v>
      </c>
      <c r="F12" s="8">
        <f t="shared" ca="1" si="4"/>
        <v>3.7544891526141861</v>
      </c>
      <c r="G12" s="8">
        <f t="shared" ca="1" si="3"/>
        <v>2.0246933735610586</v>
      </c>
      <c r="H12" s="7">
        <f t="shared" ca="1" si="0"/>
        <v>1.1046180752917993</v>
      </c>
      <c r="I12" s="7">
        <f t="shared" ca="1" si="1"/>
        <v>0.10461807529179928</v>
      </c>
      <c r="K12" s="7"/>
      <c r="L12" s="8"/>
      <c r="M12" s="7"/>
      <c r="N12" s="7"/>
    </row>
    <row r="13" spans="1:14" s="3" customFormat="1" x14ac:dyDescent="0.2">
      <c r="A13" s="3">
        <f t="shared" si="2"/>
        <v>11</v>
      </c>
      <c r="B13" s="4"/>
      <c r="C13" s="5">
        <f>C12/(1+$B$2)</f>
        <v>0.50697815706538929</v>
      </c>
      <c r="D13" s="5">
        <f>D12*(1+$B$2)</f>
        <v>1.972471567194209</v>
      </c>
      <c r="E13" s="3">
        <f>D13*C13</f>
        <v>1.0000000000000002</v>
      </c>
      <c r="F13" s="5">
        <f ca="1">F12*(1+$B$2)</f>
        <v>3.9936501116357102</v>
      </c>
      <c r="G13" s="5">
        <f t="shared" ca="1" si="3"/>
        <v>2.0246933735610586</v>
      </c>
      <c r="H13" s="4">
        <v>1</v>
      </c>
      <c r="I13" s="4">
        <f t="shared" ca="1" si="1"/>
        <v>0.24736528335076741</v>
      </c>
      <c r="K13" s="4"/>
      <c r="L13" s="5"/>
      <c r="M13" s="4"/>
      <c r="N13" s="4"/>
    </row>
    <row r="14" spans="1:14" x14ac:dyDescent="0.2">
      <c r="A14">
        <f t="shared" si="2"/>
        <v>12</v>
      </c>
      <c r="C14" s="2">
        <f>C13/(1+$B$2)</f>
        <v>0.47661761499049471</v>
      </c>
      <c r="D14" s="2">
        <f>D13*(1+$B$2)</f>
        <v>2.0981180060244804</v>
      </c>
      <c r="E14">
        <f>D14*C14</f>
        <v>1.0000000000000002</v>
      </c>
      <c r="F14" s="8">
        <f t="shared" ref="F14:F31" ca="1" si="5">F13*(1+$B$2)</f>
        <v>4.2480456237469051</v>
      </c>
      <c r="G14" s="2">
        <f t="shared" ca="1" si="3"/>
        <v>2.0246933735610582</v>
      </c>
      <c r="H14" s="1">
        <v>1</v>
      </c>
      <c r="I14" s="1">
        <f t="shared" ca="1" si="1"/>
        <v>0.10922297562334146</v>
      </c>
    </row>
    <row r="15" spans="1:14" x14ac:dyDescent="0.2">
      <c r="A15">
        <f t="shared" si="2"/>
        <v>13</v>
      </c>
      <c r="C15" s="2">
        <f>C14/(1+$B$2)</f>
        <v>0.44807522326830374</v>
      </c>
      <c r="D15" s="2">
        <f>D14*(1+$B$2)</f>
        <v>2.2317681230082398</v>
      </c>
      <c r="E15">
        <f>D15*C15</f>
        <v>1.0000000000000002</v>
      </c>
      <c r="F15" s="8">
        <f t="shared" ca="1" si="5"/>
        <v>4.518646129979583</v>
      </c>
      <c r="G15" s="2">
        <f t="shared" ca="1" si="3"/>
        <v>2.0246933735610582</v>
      </c>
      <c r="H15" s="1">
        <v>1</v>
      </c>
      <c r="I15" s="1">
        <f t="shared" ca="1" si="1"/>
        <v>9.2616406406360569E-2</v>
      </c>
    </row>
    <row r="16" spans="1:14" x14ac:dyDescent="0.2">
      <c r="A16">
        <f t="shared" si="2"/>
        <v>14</v>
      </c>
      <c r="C16" s="2">
        <f>C15/(1+$B$2)</f>
        <v>0.42124210140857732</v>
      </c>
      <c r="D16" s="2">
        <f>D15*(1+$B$2)</f>
        <v>2.3739317524438648</v>
      </c>
      <c r="E16">
        <f>D16*C16</f>
        <v>1.0000000000000002</v>
      </c>
      <c r="F16" s="8">
        <f t="shared" ca="1" si="5"/>
        <v>4.8064838884592831</v>
      </c>
      <c r="G16" s="2">
        <f t="shared" ca="1" si="3"/>
        <v>2.0246933735610582</v>
      </c>
      <c r="H16" s="1">
        <v>1</v>
      </c>
      <c r="I16" s="1">
        <f t="shared" ca="1" si="1"/>
        <v>0.21180489995577126</v>
      </c>
    </row>
    <row r="17" spans="1:9" x14ac:dyDescent="0.2">
      <c r="A17">
        <f t="shared" si="2"/>
        <v>15</v>
      </c>
      <c r="C17" s="2">
        <f>C16/(1+$B$2)</f>
        <v>0.39601588926255266</v>
      </c>
      <c r="D17" s="2">
        <f>D16*(1+$B$2)</f>
        <v>2.5251512050745393</v>
      </c>
      <c r="E17">
        <f>D17*C17</f>
        <v>1.0000000000000002</v>
      </c>
      <c r="F17" s="8">
        <f t="shared" ca="1" si="5"/>
        <v>5.1126569121541401</v>
      </c>
      <c r="G17" s="2">
        <f t="shared" ca="1" si="3"/>
        <v>2.0246933735610582</v>
      </c>
      <c r="H17" s="1">
        <v>1</v>
      </c>
      <c r="I17" s="1">
        <f t="shared" ca="1" si="1"/>
        <v>6.7072568779140668E-2</v>
      </c>
    </row>
    <row r="18" spans="1:9" x14ac:dyDescent="0.2">
      <c r="A18">
        <f t="shared" si="2"/>
        <v>16</v>
      </c>
      <c r="C18" s="2">
        <f>C17/(1+$B$2)</f>
        <v>0.37230035655029858</v>
      </c>
      <c r="D18" s="2">
        <f>D17*(1+$B$2)</f>
        <v>2.6860033368377878</v>
      </c>
      <c r="E18">
        <f>D18*C18</f>
        <v>1.0000000000000002</v>
      </c>
      <c r="F18" s="8">
        <f t="shared" ca="1" si="5"/>
        <v>5.4383331574583593</v>
      </c>
      <c r="G18" s="2">
        <f t="shared" ca="1" si="3"/>
        <v>2.0246933735610582</v>
      </c>
      <c r="H18" s="1">
        <v>1</v>
      </c>
      <c r="I18" s="1">
        <f t="shared" ca="1" si="1"/>
        <v>0.26158009842199098</v>
      </c>
    </row>
    <row r="19" spans="1:9" x14ac:dyDescent="0.2">
      <c r="A19">
        <f t="shared" si="2"/>
        <v>17</v>
      </c>
      <c r="C19" s="2">
        <f>C18/(1+$B$2)</f>
        <v>0.35000503577164477</v>
      </c>
      <c r="D19" s="2">
        <f>D18*(1+$B$2)</f>
        <v>2.8571017493943551</v>
      </c>
      <c r="E19">
        <f>D19*C19</f>
        <v>1.0000000000000002</v>
      </c>
      <c r="F19" s="8">
        <f t="shared" ca="1" si="5"/>
        <v>5.784754979588457</v>
      </c>
      <c r="G19" s="2">
        <f t="shared" ca="1" si="3"/>
        <v>2.0246933735610582</v>
      </c>
      <c r="H19" s="1">
        <v>1</v>
      </c>
      <c r="I19" s="1">
        <f t="shared" ca="1" si="1"/>
        <v>0.22478746626260415</v>
      </c>
    </row>
    <row r="20" spans="1:9" x14ac:dyDescent="0.2">
      <c r="A20">
        <f t="shared" si="2"/>
        <v>18</v>
      </c>
      <c r="C20" s="2">
        <f>C19/(1+$B$2)</f>
        <v>0.3290448771003523</v>
      </c>
      <c r="D20" s="2">
        <f>D19*(1+$B$2)</f>
        <v>3.0390991308307758</v>
      </c>
      <c r="E20">
        <f>D20*C20</f>
        <v>1</v>
      </c>
      <c r="F20" s="8">
        <f t="shared" ca="1" si="5"/>
        <v>6.1532438717882423</v>
      </c>
      <c r="G20" s="2">
        <f t="shared" ca="1" si="3"/>
        <v>2.0246933735610582</v>
      </c>
      <c r="H20" s="1">
        <v>1</v>
      </c>
      <c r="I20" s="1">
        <f t="shared" ca="1" si="1"/>
        <v>0.17166179347836052</v>
      </c>
    </row>
    <row r="21" spans="1:9" x14ac:dyDescent="0.2">
      <c r="A21">
        <f t="shared" si="2"/>
        <v>19</v>
      </c>
      <c r="C21" s="2">
        <f>C20/(1+$B$2)</f>
        <v>0.30933992394505244</v>
      </c>
      <c r="D21" s="2">
        <f>D20*(1+$B$2)</f>
        <v>3.2326897454646963</v>
      </c>
      <c r="E21">
        <f>D21*C21</f>
        <v>1</v>
      </c>
      <c r="F21" s="8">
        <f t="shared" ca="1" si="5"/>
        <v>6.5452055064211541</v>
      </c>
      <c r="G21" s="2">
        <f t="shared" ca="1" si="3"/>
        <v>2.0246933735610582</v>
      </c>
      <c r="H21" s="1">
        <v>1</v>
      </c>
      <c r="I21" s="1">
        <f t="shared" ca="1" si="1"/>
        <v>0.22042911368570706</v>
      </c>
    </row>
    <row r="22" spans="1:9" x14ac:dyDescent="0.2">
      <c r="A22">
        <f t="shared" si="2"/>
        <v>20</v>
      </c>
      <c r="C22" s="2">
        <f>C21/(1+$B$2)</f>
        <v>0.29081500793931786</v>
      </c>
      <c r="D22" s="2">
        <f>D21*(1+$B$2)</f>
        <v>3.4386120822507977</v>
      </c>
      <c r="E22">
        <f>D22*C22</f>
        <v>1</v>
      </c>
      <c r="F22" s="8">
        <f t="shared" ca="1" si="5"/>
        <v>6.9621350971801821</v>
      </c>
      <c r="G22" s="2">
        <f t="shared" ca="1" si="3"/>
        <v>2.0246933735610582</v>
      </c>
      <c r="H22" s="1">
        <v>1</v>
      </c>
      <c r="I22" s="1">
        <f t="shared" ca="1" si="1"/>
        <v>6.6457389184845977E-2</v>
      </c>
    </row>
    <row r="23" spans="1:9" x14ac:dyDescent="0.2">
      <c r="A23">
        <f t="shared" si="2"/>
        <v>21</v>
      </c>
      <c r="C23" s="2">
        <f>C22/(1+$B$2)</f>
        <v>0.27339946219734684</v>
      </c>
      <c r="D23" s="2">
        <f>D22*(1+$B$2)</f>
        <v>3.6576516718901737</v>
      </c>
      <c r="E23">
        <f>D23*C23</f>
        <v>1</v>
      </c>
      <c r="F23" s="8">
        <f t="shared" ca="1" si="5"/>
        <v>7.4056231028705604</v>
      </c>
      <c r="G23" s="2">
        <f t="shared" ca="1" si="3"/>
        <v>2.0246933735610582</v>
      </c>
      <c r="H23" s="1">
        <v>1</v>
      </c>
      <c r="I23" s="1">
        <f t="shared" ca="1" si="1"/>
        <v>3.2564054088055128E-2</v>
      </c>
    </row>
    <row r="24" spans="1:9" x14ac:dyDescent="0.2">
      <c r="A24">
        <f t="shared" si="2"/>
        <v>22</v>
      </c>
      <c r="C24" s="2">
        <f>C23/(1+$B$2)</f>
        <v>0.25702685174141848</v>
      </c>
      <c r="D24" s="2">
        <f>D23*(1+$B$2)</f>
        <v>3.8906440833895779</v>
      </c>
      <c r="E24">
        <f>D24*C24</f>
        <v>1</v>
      </c>
      <c r="F24" s="8">
        <f t="shared" ca="1" si="5"/>
        <v>7.8773612945234159</v>
      </c>
      <c r="G24" s="2">
        <f t="shared" ca="1" si="3"/>
        <v>2.0246933735610586</v>
      </c>
      <c r="H24" s="1">
        <v>1</v>
      </c>
      <c r="I24" s="1">
        <f t="shared" ca="1" si="1"/>
        <v>0.18618531337694524</v>
      </c>
    </row>
    <row r="25" spans="1:9" x14ac:dyDescent="0.2">
      <c r="A25">
        <f t="shared" si="2"/>
        <v>23</v>
      </c>
      <c r="C25" s="2">
        <f>C24/(1+$B$2)</f>
        <v>0.24163472007278222</v>
      </c>
      <c r="D25" s="2">
        <f>D24*(1+$B$2)</f>
        <v>4.1384781115014944</v>
      </c>
      <c r="E25">
        <f>D25*C25</f>
        <v>1</v>
      </c>
      <c r="F25" s="8">
        <f t="shared" ca="1" si="5"/>
        <v>8.3791492089845576</v>
      </c>
      <c r="G25" s="2">
        <f t="shared" ca="1" si="3"/>
        <v>2.0246933735610582</v>
      </c>
      <c r="H25" s="1">
        <v>1</v>
      </c>
      <c r="I25" s="1">
        <f t="shared" ca="1" si="1"/>
        <v>6.239849184702588E-2</v>
      </c>
    </row>
    <row r="26" spans="1:9" x14ac:dyDescent="0.2">
      <c r="A26">
        <f t="shared" si="2"/>
        <v>24</v>
      </c>
      <c r="C26" s="2">
        <f>C25/(1+$B$2)</f>
        <v>0.2271643509192274</v>
      </c>
      <c r="D26" s="2">
        <f>D25*(1+$B$2)</f>
        <v>4.4020991672041401</v>
      </c>
      <c r="E26">
        <f>D26*C26</f>
        <v>1</v>
      </c>
      <c r="F26" s="8">
        <f t="shared" ca="1" si="5"/>
        <v>8.9129010135968745</v>
      </c>
      <c r="G26" s="2">
        <f t="shared" ca="1" si="3"/>
        <v>2.0246933735610582</v>
      </c>
      <c r="H26" s="1">
        <v>1</v>
      </c>
      <c r="I26" s="1">
        <f t="shared" ca="1" si="1"/>
        <v>0.11167028166342791</v>
      </c>
    </row>
    <row r="27" spans="1:9" x14ac:dyDescent="0.2">
      <c r="A27">
        <f t="shared" si="2"/>
        <v>25</v>
      </c>
      <c r="C27" s="2">
        <f>C26/(1+$B$2)</f>
        <v>0.2135605442504723</v>
      </c>
      <c r="D27" s="2">
        <f>D26*(1+$B$2)</f>
        <v>4.6825128841550443</v>
      </c>
      <c r="E27">
        <f>D27*C27</f>
        <v>1</v>
      </c>
      <c r="F27" s="8">
        <f t="shared" ca="1" si="5"/>
        <v>9.480652808162997</v>
      </c>
      <c r="G27" s="2">
        <f t="shared" ca="1" si="3"/>
        <v>2.0246933735610582</v>
      </c>
      <c r="H27" s="1">
        <v>1</v>
      </c>
      <c r="I27" s="1">
        <f t="shared" ca="1" si="1"/>
        <v>0.21504121539196966</v>
      </c>
    </row>
    <row r="28" spans="1:9" x14ac:dyDescent="0.2">
      <c r="A28">
        <f t="shared" si="2"/>
        <v>26</v>
      </c>
      <c r="C28" s="2">
        <f>C27/(1+$B$2)</f>
        <v>0.20077140570694019</v>
      </c>
      <c r="D28" s="2">
        <f>D27*(1+$B$2)</f>
        <v>4.9807889548757212</v>
      </c>
      <c r="E28">
        <f>D28*C28</f>
        <v>1</v>
      </c>
      <c r="F28" s="8">
        <f t="shared" ca="1" si="5"/>
        <v>10.084570392042981</v>
      </c>
      <c r="G28" s="2">
        <f t="shared" ca="1" si="3"/>
        <v>2.0246933735610582</v>
      </c>
      <c r="H28" s="1">
        <v>1</v>
      </c>
      <c r="I28" s="1">
        <f t="shared" ca="1" si="1"/>
        <v>0.24675686973908281</v>
      </c>
    </row>
    <row r="29" spans="1:9" x14ac:dyDescent="0.2">
      <c r="A29">
        <f t="shared" si="2"/>
        <v>27</v>
      </c>
      <c r="C29" s="2">
        <f>C28/(1+$B$2)</f>
        <v>0.18874814863865769</v>
      </c>
      <c r="D29" s="2">
        <f>D28*(1+$B$2)</f>
        <v>5.2980652113013047</v>
      </c>
      <c r="E29">
        <f>D29*C29</f>
        <v>1</v>
      </c>
      <c r="F29" s="8">
        <f t="shared" ca="1" si="5"/>
        <v>10.72695752601612</v>
      </c>
      <c r="G29" s="2">
        <f t="shared" ca="1" si="3"/>
        <v>2.0246933735610582</v>
      </c>
      <c r="H29" s="1">
        <v>1</v>
      </c>
      <c r="I29" s="1">
        <f t="shared" ca="1" si="1"/>
        <v>0.22361382764760956</v>
      </c>
    </row>
    <row r="30" spans="1:9" x14ac:dyDescent="0.2">
      <c r="A30">
        <f t="shared" si="2"/>
        <v>28</v>
      </c>
      <c r="C30" s="2">
        <f>C29/(1+$B$2)</f>
        <v>0.17744490799911411</v>
      </c>
      <c r="D30" s="2">
        <f>D29*(1+$B$2)</f>
        <v>5.6355519652611985</v>
      </c>
      <c r="E30">
        <f>D30*C30</f>
        <v>1</v>
      </c>
      <c r="F30" s="8">
        <f t="shared" ca="1" si="5"/>
        <v>11.410264720423347</v>
      </c>
      <c r="G30" s="2">
        <f t="shared" ca="1" si="3"/>
        <v>2.0246933735610582</v>
      </c>
      <c r="H30" s="1">
        <v>1</v>
      </c>
      <c r="I30" s="1">
        <f t="shared" ca="1" si="1"/>
        <v>-8.3694277905539127E-3</v>
      </c>
    </row>
    <row r="31" spans="1:9" x14ac:dyDescent="0.2">
      <c r="A31">
        <f>A30+1</f>
        <v>29</v>
      </c>
      <c r="C31" s="2">
        <f>C30/(1+$B$2)</f>
        <v>0.16681856538414411</v>
      </c>
      <c r="D31" s="2">
        <f>D30*(1+$B$2)</f>
        <v>5.9945366254483377</v>
      </c>
      <c r="E31">
        <f>D31*C31</f>
        <v>1</v>
      </c>
      <c r="F31" s="8">
        <f t="shared" ca="1" si="5"/>
        <v>12.137098583114316</v>
      </c>
      <c r="G31" s="2">
        <f t="shared" ca="1" si="3"/>
        <v>2.0246933735610582</v>
      </c>
      <c r="H31" s="1">
        <v>1</v>
      </c>
      <c r="I31" s="1">
        <f t="shared" ca="1" si="1"/>
        <v>0.1377360563753523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3352-5120-034F-A42A-27BEFE553EA5}">
  <sheetPr codeName="Sheet2"/>
  <dimension ref="A1:D100"/>
  <sheetViews>
    <sheetView tabSelected="1" workbookViewId="0">
      <selection activeCell="Q26" sqref="Q26"/>
    </sheetView>
  </sheetViews>
  <sheetFormatPr baseColWidth="10" defaultRowHeight="16" x14ac:dyDescent="0.2"/>
  <cols>
    <col min="4" max="4" width="10.83203125" style="2"/>
  </cols>
  <sheetData>
    <row r="1" spans="1:4" x14ac:dyDescent="0.2">
      <c r="A1">
        <v>0.38507430003166299</v>
      </c>
      <c r="B1">
        <f ca="1">RAND()</f>
        <v>0.73411622134281496</v>
      </c>
      <c r="C1">
        <v>1</v>
      </c>
    </row>
    <row r="2" spans="1:4" x14ac:dyDescent="0.2">
      <c r="A2">
        <v>0.17225107581648058</v>
      </c>
      <c r="C2">
        <v>2</v>
      </c>
      <c r="D2" s="2">
        <f t="dataTable" ref="D2:D22" dt2D="0" dtr="0" r1="B1"/>
        <v>0</v>
      </c>
    </row>
    <row r="3" spans="1:4" x14ac:dyDescent="0.2">
      <c r="A3">
        <v>0.31679359094646109</v>
      </c>
      <c r="C3">
        <v>3</v>
      </c>
      <c r="D3" s="2">
        <v>0</v>
      </c>
    </row>
    <row r="4" spans="1:4" x14ac:dyDescent="0.2">
      <c r="A4">
        <v>0.39974953262843121</v>
      </c>
      <c r="C4">
        <v>4</v>
      </c>
      <c r="D4" s="2">
        <v>0</v>
      </c>
    </row>
    <row r="5" spans="1:4" x14ac:dyDescent="0.2">
      <c r="A5">
        <v>0.80482208302214298</v>
      </c>
      <c r="C5">
        <v>5</v>
      </c>
      <c r="D5" s="2">
        <v>0</v>
      </c>
    </row>
    <row r="6" spans="1:4" x14ac:dyDescent="0.2">
      <c r="A6">
        <v>0.27992294489867353</v>
      </c>
      <c r="C6">
        <v>6</v>
      </c>
      <c r="D6" s="2">
        <v>0</v>
      </c>
    </row>
    <row r="7" spans="1:4" x14ac:dyDescent="0.2">
      <c r="A7">
        <v>0.51599792492800656</v>
      </c>
      <c r="C7">
        <v>7</v>
      </c>
      <c r="D7" s="2">
        <v>0</v>
      </c>
    </row>
    <row r="8" spans="1:4" x14ac:dyDescent="0.2">
      <c r="A8">
        <v>0.44045263103136389</v>
      </c>
      <c r="C8">
        <v>8</v>
      </c>
      <c r="D8" s="2">
        <v>0</v>
      </c>
    </row>
    <row r="9" spans="1:4" x14ac:dyDescent="0.2">
      <c r="A9">
        <v>0.24311109398645023</v>
      </c>
      <c r="C9">
        <v>9</v>
      </c>
      <c r="D9" s="2">
        <v>0</v>
      </c>
    </row>
    <row r="10" spans="1:4" x14ac:dyDescent="0.2">
      <c r="A10">
        <v>0.21058492206117441</v>
      </c>
      <c r="C10">
        <v>10</v>
      </c>
      <c r="D10" s="2">
        <v>0</v>
      </c>
    </row>
    <row r="11" spans="1:4" x14ac:dyDescent="0.2">
      <c r="A11">
        <v>0.61566361322710939</v>
      </c>
      <c r="C11">
        <v>11</v>
      </c>
      <c r="D11" s="2">
        <v>0</v>
      </c>
    </row>
    <row r="12" spans="1:4" x14ac:dyDescent="0.2">
      <c r="A12">
        <v>0.53901316727244619</v>
      </c>
      <c r="C12">
        <v>12</v>
      </c>
      <c r="D12" s="2">
        <v>0</v>
      </c>
    </row>
    <row r="13" spans="1:4" x14ac:dyDescent="0.2">
      <c r="A13">
        <v>8.9347326164090912E-4</v>
      </c>
      <c r="C13">
        <v>13</v>
      </c>
      <c r="D13" s="2">
        <v>0</v>
      </c>
    </row>
    <row r="14" spans="1:4" x14ac:dyDescent="0.2">
      <c r="A14">
        <v>0.95718070906646002</v>
      </c>
      <c r="C14">
        <v>14</v>
      </c>
      <c r="D14" s="2">
        <v>0</v>
      </c>
    </row>
    <row r="15" spans="1:4" x14ac:dyDescent="0.2">
      <c r="A15">
        <v>0.95296785966887765</v>
      </c>
      <c r="C15">
        <v>15</v>
      </c>
      <c r="D15" s="2">
        <v>0</v>
      </c>
    </row>
    <row r="16" spans="1:4" x14ac:dyDescent="0.2">
      <c r="A16">
        <v>0.74056159962018264</v>
      </c>
      <c r="C16">
        <v>16</v>
      </c>
      <c r="D16" s="2">
        <v>0</v>
      </c>
    </row>
    <row r="17" spans="1:4" x14ac:dyDescent="0.2">
      <c r="A17">
        <v>4.2527333459465251E-2</v>
      </c>
      <c r="C17">
        <v>17</v>
      </c>
      <c r="D17" s="2">
        <v>0</v>
      </c>
    </row>
    <row r="18" spans="1:4" x14ac:dyDescent="0.2">
      <c r="A18">
        <v>9.6398988413047407E-2</v>
      </c>
      <c r="C18">
        <v>18</v>
      </c>
      <c r="D18" s="2">
        <v>0</v>
      </c>
    </row>
    <row r="19" spans="1:4" x14ac:dyDescent="0.2">
      <c r="A19">
        <v>0.39036000966043161</v>
      </c>
      <c r="C19">
        <v>19</v>
      </c>
      <c r="D19" s="2">
        <v>0</v>
      </c>
    </row>
    <row r="20" spans="1:4" x14ac:dyDescent="0.2">
      <c r="A20">
        <v>0.71876169353495722</v>
      </c>
      <c r="C20">
        <v>20</v>
      </c>
      <c r="D20" s="2">
        <v>0</v>
      </c>
    </row>
    <row r="21" spans="1:4" x14ac:dyDescent="0.2">
      <c r="A21">
        <v>0.55419451764444483</v>
      </c>
      <c r="C21">
        <v>21</v>
      </c>
      <c r="D21" s="2">
        <v>0</v>
      </c>
    </row>
    <row r="22" spans="1:4" x14ac:dyDescent="0.2">
      <c r="A22">
        <v>6.9603712282089281E-2</v>
      </c>
      <c r="C22">
        <v>22</v>
      </c>
      <c r="D22" s="2">
        <v>0</v>
      </c>
    </row>
    <row r="23" spans="1:4" x14ac:dyDescent="0.2">
      <c r="A23">
        <v>0.20285047517727683</v>
      </c>
    </row>
    <row r="24" spans="1:4" x14ac:dyDescent="0.2">
      <c r="A24">
        <v>2.8087176282435625E-2</v>
      </c>
    </row>
    <row r="25" spans="1:4" x14ac:dyDescent="0.2">
      <c r="A25">
        <v>0.94941454147298776</v>
      </c>
    </row>
    <row r="26" spans="1:4" x14ac:dyDescent="0.2">
      <c r="A26">
        <v>0.50883648422614958</v>
      </c>
    </row>
    <row r="27" spans="1:4" x14ac:dyDescent="0.2">
      <c r="A27">
        <v>0.78605700834265158</v>
      </c>
    </row>
    <row r="28" spans="1:4" x14ac:dyDescent="0.2">
      <c r="A28">
        <v>0.11691738300335164</v>
      </c>
    </row>
    <row r="29" spans="1:4" x14ac:dyDescent="0.2">
      <c r="A29">
        <v>0.99132091827265922</v>
      </c>
    </row>
    <row r="30" spans="1:4" x14ac:dyDescent="0.2">
      <c r="A30">
        <v>0.64502760971524298</v>
      </c>
    </row>
    <row r="31" spans="1:4" x14ac:dyDescent="0.2">
      <c r="A31">
        <v>0.36713034792277599</v>
      </c>
    </row>
    <row r="32" spans="1:4" x14ac:dyDescent="0.2">
      <c r="A32">
        <v>0.50413912385254966</v>
      </c>
    </row>
    <row r="33" spans="1:1" x14ac:dyDescent="0.2">
      <c r="A33">
        <v>0.72193782281930052</v>
      </c>
    </row>
    <row r="34" spans="1:1" x14ac:dyDescent="0.2">
      <c r="A34">
        <v>0.66012823363903073</v>
      </c>
    </row>
    <row r="35" spans="1:1" x14ac:dyDescent="0.2">
      <c r="A35">
        <v>0.59991656062931153</v>
      </c>
    </row>
    <row r="36" spans="1:1" x14ac:dyDescent="0.2">
      <c r="A36">
        <v>0.11907416083339896</v>
      </c>
    </row>
    <row r="37" spans="1:1" x14ac:dyDescent="0.2">
      <c r="A37">
        <v>0.6460930185004734</v>
      </c>
    </row>
    <row r="38" spans="1:1" x14ac:dyDescent="0.2">
      <c r="A38">
        <v>0.36359823021035909</v>
      </c>
    </row>
    <row r="39" spans="1:1" x14ac:dyDescent="0.2">
      <c r="A39">
        <v>0.58612059372587355</v>
      </c>
    </row>
    <row r="40" spans="1:1" x14ac:dyDescent="0.2">
      <c r="A40">
        <v>0.55017076989258351</v>
      </c>
    </row>
    <row r="41" spans="1:1" x14ac:dyDescent="0.2">
      <c r="A41">
        <v>0.37135935736630921</v>
      </c>
    </row>
    <row r="42" spans="1:1" x14ac:dyDescent="0.2">
      <c r="A42">
        <v>0.65336877316870945</v>
      </c>
    </row>
    <row r="43" spans="1:1" x14ac:dyDescent="0.2">
      <c r="A43">
        <v>0.38460492749025083</v>
      </c>
    </row>
    <row r="44" spans="1:1" x14ac:dyDescent="0.2">
      <c r="A44">
        <v>0.43362609215521108</v>
      </c>
    </row>
    <row r="45" spans="1:1" x14ac:dyDescent="0.2">
      <c r="A45">
        <v>7.1803315876501905E-2</v>
      </c>
    </row>
    <row r="46" spans="1:1" x14ac:dyDescent="0.2">
      <c r="A46">
        <v>0.73618856138780031</v>
      </c>
    </row>
    <row r="47" spans="1:1" x14ac:dyDescent="0.2">
      <c r="A47">
        <v>0.2492253784409374</v>
      </c>
    </row>
    <row r="48" spans="1:1" x14ac:dyDescent="0.2">
      <c r="A48">
        <v>0.74862521091871903</v>
      </c>
    </row>
    <row r="49" spans="1:1" x14ac:dyDescent="0.2">
      <c r="A49">
        <v>0.78681275872650625</v>
      </c>
    </row>
    <row r="50" spans="1:1" x14ac:dyDescent="0.2">
      <c r="A50">
        <v>0.60941453708381099</v>
      </c>
    </row>
    <row r="51" spans="1:1" x14ac:dyDescent="0.2">
      <c r="A51">
        <v>0.87082067616661241</v>
      </c>
    </row>
    <row r="52" spans="1:1" x14ac:dyDescent="0.2">
      <c r="A52">
        <v>0.38333638903440814</v>
      </c>
    </row>
    <row r="53" spans="1:1" x14ac:dyDescent="0.2">
      <c r="A53">
        <v>1.4082114573632063E-2</v>
      </c>
    </row>
    <row r="54" spans="1:1" x14ac:dyDescent="0.2">
      <c r="A54">
        <v>0.7852889211178361</v>
      </c>
    </row>
    <row r="55" spans="1:1" x14ac:dyDescent="0.2">
      <c r="A55">
        <v>0.49160302040329318</v>
      </c>
    </row>
    <row r="56" spans="1:1" x14ac:dyDescent="0.2">
      <c r="A56">
        <v>0.63326928811104344</v>
      </c>
    </row>
    <row r="57" spans="1:1" x14ac:dyDescent="0.2">
      <c r="A57">
        <v>0.3846053160168964</v>
      </c>
    </row>
    <row r="58" spans="1:1" x14ac:dyDescent="0.2">
      <c r="A58">
        <v>0.30214856971730797</v>
      </c>
    </row>
    <row r="59" spans="1:1" x14ac:dyDescent="0.2">
      <c r="A59">
        <v>0.57031077826637877</v>
      </c>
    </row>
    <row r="60" spans="1:1" x14ac:dyDescent="0.2">
      <c r="A60">
        <v>0.42547135226993571</v>
      </c>
    </row>
    <row r="61" spans="1:1" x14ac:dyDescent="0.2">
      <c r="A61">
        <v>1.1585649222004111E-2</v>
      </c>
    </row>
    <row r="62" spans="1:1" x14ac:dyDescent="0.2">
      <c r="A62">
        <v>0.47626933651790337</v>
      </c>
    </row>
    <row r="63" spans="1:1" x14ac:dyDescent="0.2">
      <c r="A63">
        <v>0.93602836483930085</v>
      </c>
    </row>
    <row r="64" spans="1:1" x14ac:dyDescent="0.2">
      <c r="A64">
        <v>0.22632389499668204</v>
      </c>
    </row>
    <row r="65" spans="1:1" x14ac:dyDescent="0.2">
      <c r="A65">
        <v>0.59852946174231603</v>
      </c>
    </row>
    <row r="66" spans="1:1" x14ac:dyDescent="0.2">
      <c r="A66">
        <v>0.81058677690999159</v>
      </c>
    </row>
    <row r="67" spans="1:1" x14ac:dyDescent="0.2">
      <c r="A67">
        <v>0.95471832580163241</v>
      </c>
    </row>
    <row r="68" spans="1:1" x14ac:dyDescent="0.2">
      <c r="A68">
        <v>0.92221491112132037</v>
      </c>
    </row>
    <row r="69" spans="1:1" x14ac:dyDescent="0.2">
      <c r="A69">
        <v>0.59869717807311307</v>
      </c>
    </row>
    <row r="70" spans="1:1" x14ac:dyDescent="0.2">
      <c r="A70">
        <v>0.71255981752340947</v>
      </c>
    </row>
    <row r="71" spans="1:1" x14ac:dyDescent="0.2">
      <c r="A71">
        <v>0.24799587537939605</v>
      </c>
    </row>
    <row r="72" spans="1:1" x14ac:dyDescent="0.2">
      <c r="A72">
        <v>0.51852045991020657</v>
      </c>
    </row>
    <row r="73" spans="1:1" x14ac:dyDescent="0.2">
      <c r="A73">
        <v>0.45129498533516199</v>
      </c>
    </row>
    <row r="74" spans="1:1" x14ac:dyDescent="0.2">
      <c r="A74">
        <v>5.7641939371772637E-2</v>
      </c>
    </row>
    <row r="75" spans="1:1" x14ac:dyDescent="0.2">
      <c r="A75">
        <v>0.45989186475715021</v>
      </c>
    </row>
    <row r="76" spans="1:1" x14ac:dyDescent="0.2">
      <c r="A76">
        <v>0.26278994196635408</v>
      </c>
    </row>
    <row r="77" spans="1:1" x14ac:dyDescent="0.2">
      <c r="A77">
        <v>0.40347481664295259</v>
      </c>
    </row>
    <row r="78" spans="1:1" x14ac:dyDescent="0.2">
      <c r="A78">
        <v>0.44482318160671674</v>
      </c>
    </row>
    <row r="79" spans="1:1" x14ac:dyDescent="0.2">
      <c r="A79">
        <v>0.8648562742248963</v>
      </c>
    </row>
    <row r="80" spans="1:1" x14ac:dyDescent="0.2">
      <c r="A80">
        <v>0.15134779939149612</v>
      </c>
    </row>
    <row r="81" spans="1:1" x14ac:dyDescent="0.2">
      <c r="A81">
        <v>0.5931963730284654</v>
      </c>
    </row>
    <row r="82" spans="1:1" x14ac:dyDescent="0.2">
      <c r="A82">
        <v>0.91759617688430639</v>
      </c>
    </row>
    <row r="83" spans="1:1" x14ac:dyDescent="0.2">
      <c r="A83">
        <v>0.4114580338342928</v>
      </c>
    </row>
    <row r="84" spans="1:1" x14ac:dyDescent="0.2">
      <c r="A84">
        <v>0.89509640255829326</v>
      </c>
    </row>
    <row r="85" spans="1:1" x14ac:dyDescent="0.2">
      <c r="A85">
        <v>0.38682237933399966</v>
      </c>
    </row>
    <row r="86" spans="1:1" x14ac:dyDescent="0.2">
      <c r="A86">
        <v>0.33657495246593538</v>
      </c>
    </row>
    <row r="87" spans="1:1" x14ac:dyDescent="0.2">
      <c r="A87">
        <v>0.64329319803923324</v>
      </c>
    </row>
    <row r="88" spans="1:1" x14ac:dyDescent="0.2">
      <c r="A88">
        <v>0.46015533155229293</v>
      </c>
    </row>
    <row r="89" spans="1:1" x14ac:dyDescent="0.2">
      <c r="A89">
        <v>0.23776236738071443</v>
      </c>
    </row>
    <row r="90" spans="1:1" x14ac:dyDescent="0.2">
      <c r="A90">
        <v>0.3359064993605938</v>
      </c>
    </row>
    <row r="91" spans="1:1" x14ac:dyDescent="0.2">
      <c r="A91">
        <v>0.13402880107183943</v>
      </c>
    </row>
    <row r="92" spans="1:1" x14ac:dyDescent="0.2">
      <c r="A92">
        <v>0.62792304737082061</v>
      </c>
    </row>
    <row r="93" spans="1:1" x14ac:dyDescent="0.2">
      <c r="A93">
        <v>0.97565779708271405</v>
      </c>
    </row>
    <row r="94" spans="1:1" x14ac:dyDescent="0.2">
      <c r="A94">
        <v>0.13329726972159206</v>
      </c>
    </row>
    <row r="95" spans="1:1" x14ac:dyDescent="0.2">
      <c r="A95">
        <v>0.22703271590377305</v>
      </c>
    </row>
    <row r="96" spans="1:1" x14ac:dyDescent="0.2">
      <c r="A96">
        <v>0.7874439807350494</v>
      </c>
    </row>
    <row r="97" spans="1:1" x14ac:dyDescent="0.2">
      <c r="A97">
        <v>0.61633665638699697</v>
      </c>
    </row>
    <row r="98" spans="1:1" x14ac:dyDescent="0.2">
      <c r="A98">
        <v>0.32571948234627945</v>
      </c>
    </row>
    <row r="99" spans="1:1" x14ac:dyDescent="0.2">
      <c r="A99">
        <v>7.5895333396344467E-2</v>
      </c>
    </row>
    <row r="100" spans="1:1" x14ac:dyDescent="0.2">
      <c r="A100">
        <v>0.69456763979475244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EESXAMEXSB7FEBG4WZHZLWE34724I5TO:ms-officescript%3A%2F%2Fonedrive_business_sharinglink%2Fu!aHR0cHM6Ly9hbWF6b24tbXkuc2hhcmVwb2ludC5jb20vOnU6L3AvdGFvaHUvRVplUWZsSUUzTFpQbGRpYjVfWEVkbTRCTmtaTm83WUZVNm9yN1liV000RFFhUQ"/>
</scriptIds>
</file>

<file path=customXml/itemProps1.xml><?xml version="1.0" encoding="utf-8"?>
<ds:datastoreItem xmlns:ds="http://schemas.openxmlformats.org/officeDocument/2006/customXml" ds:itemID="{D31FBDA8-6985-A245-AD5F-5DAA605778B6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Tao</dc:creator>
  <cp:lastModifiedBy>Hu, Tao</cp:lastModifiedBy>
  <dcterms:created xsi:type="dcterms:W3CDTF">2025-08-05T21:06:11Z</dcterms:created>
  <dcterms:modified xsi:type="dcterms:W3CDTF">2025-08-06T16:50:42Z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2025-08-05T21:50:19Z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7e7027bd-00d0-45c7-95c5-9cdbcd8f79ca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